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https://d.docs.live.net/0994F40814064CFF/Pictures/Documents/"/>
    </mc:Choice>
  </mc:AlternateContent>
  <xr:revisionPtr revIDLastSave="0" documentId="8_{4AE105B9-5441-473A-897F-B69C15FE9D11}" xr6:coauthVersionLast="47" xr6:coauthVersionMax="47" xr10:uidLastSave="{00000000-0000-0000-0000-000000000000}"/>
  <bookViews>
    <workbookView xWindow="-120" yWindow="-120" windowWidth="20730" windowHeight="11760" tabRatio="903" firstSheet="9" activeTab="9" xr2:uid="{00000000-000D-0000-FFFF-FFFF00000000}"/>
  </bookViews>
  <sheets>
    <sheet name="Chungwoon University(Hongseong)" sheetId="5" r:id="rId1"/>
    <sheet name="Jeonbok National (Jeonju)" sheetId="1" r:id="rId2"/>
    <sheet name="KIT (Busan)" sheetId="6" r:id="rId3"/>
    <sheet name="Woosong university (Daejon)" sheetId="4" r:id="rId4"/>
    <sheet name="Jeonju University (Jeonju)" sheetId="8" r:id="rId5"/>
    <sheet name="Hannam university (Daejon)" sheetId="7" r:id="rId6"/>
    <sheet name="Konkuk University (Seoul)" sheetId="10" r:id="rId7"/>
    <sheet name="Woosuk University (Wanju)" sheetId="11" r:id="rId8"/>
    <sheet name="Hanil University (Wanju)" sheetId="12" r:id="rId9"/>
    <sheet name="Kunjang College (Gunsan)" sheetId="9" r:id="rId10"/>
    <sheet name="Kongju National (Gongju)" sheetId="14" r:id="rId11"/>
    <sheet name="Parameters" sheetId="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S17" i="8"/>
  <c r="G17" i="8"/>
  <c r="G16" i="8"/>
  <c r="I2" i="10"/>
  <c r="G129" i="11"/>
  <c r="G122" i="11"/>
  <c r="G108" i="11"/>
  <c r="G56" i="11"/>
  <c r="G149" i="11"/>
  <c r="G67" i="11"/>
  <c r="G148" i="11"/>
  <c r="G73" i="11"/>
  <c r="G86" i="11"/>
  <c r="G147" i="11"/>
  <c r="G144" i="11"/>
  <c r="G145" i="11"/>
  <c r="G146" i="11"/>
  <c r="G112" i="11"/>
  <c r="G111" i="11"/>
  <c r="G60" i="11"/>
  <c r="G141" i="11"/>
  <c r="G95" i="11"/>
  <c r="G78" i="11"/>
  <c r="G106" i="11"/>
  <c r="G140" i="11"/>
  <c r="G90" i="11"/>
  <c r="G117" i="11"/>
  <c r="G53" i="11"/>
  <c r="G55" i="11"/>
  <c r="G58" i="11"/>
  <c r="G76" i="11"/>
  <c r="G82" i="11"/>
  <c r="G139" i="11"/>
  <c r="G98" i="11"/>
  <c r="G138" i="11"/>
  <c r="G137" i="11"/>
  <c r="G136" i="11"/>
  <c r="G105" i="11"/>
  <c r="G135" i="11"/>
  <c r="G97" i="11"/>
  <c r="G119" i="11"/>
  <c r="G100" i="11"/>
  <c r="G11" i="11"/>
  <c r="G17" i="11"/>
  <c r="G2" i="11"/>
  <c r="G51" i="11"/>
  <c r="G16" i="11"/>
  <c r="G28" i="11"/>
  <c r="G3" i="11"/>
  <c r="G4" i="11"/>
  <c r="G5" i="11"/>
  <c r="G6" i="11"/>
  <c r="G7" i="11"/>
  <c r="G8" i="11"/>
  <c r="G9" i="11"/>
  <c r="G10" i="11"/>
  <c r="G12" i="11"/>
  <c r="G13" i="11"/>
  <c r="G14" i="11"/>
  <c r="G15" i="11"/>
  <c r="G18" i="11"/>
  <c r="G19" i="11"/>
  <c r="G20" i="11"/>
  <c r="G21" i="11"/>
  <c r="G22" i="11"/>
  <c r="G24" i="11"/>
  <c r="G25" i="11"/>
  <c r="G26" i="11"/>
  <c r="G27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6" i="11"/>
  <c r="G47" i="11"/>
  <c r="G48" i="11"/>
  <c r="G49" i="11"/>
  <c r="G50" i="11"/>
  <c r="G57" i="11"/>
  <c r="G59" i="11"/>
  <c r="G61" i="11"/>
  <c r="G62" i="11"/>
  <c r="G63" i="11"/>
  <c r="G64" i="11"/>
  <c r="G65" i="11"/>
  <c r="G66" i="11"/>
  <c r="G68" i="11"/>
  <c r="G69" i="11"/>
  <c r="G70" i="11"/>
  <c r="G74" i="11"/>
  <c r="G75" i="11"/>
  <c r="G77" i="11"/>
  <c r="G80" i="11"/>
  <c r="G81" i="11"/>
  <c r="G83" i="11"/>
  <c r="G84" i="11"/>
  <c r="G85" i="11"/>
  <c r="G87" i="11"/>
  <c r="G88" i="11"/>
  <c r="G89" i="11"/>
  <c r="G91" i="11"/>
  <c r="G92" i="11"/>
  <c r="G93" i="11"/>
  <c r="G94" i="11"/>
  <c r="G96" i="11"/>
  <c r="G99" i="11"/>
  <c r="G102" i="11"/>
  <c r="G103" i="11"/>
  <c r="G104" i="11"/>
  <c r="G107" i="11"/>
  <c r="G109" i="11"/>
  <c r="G110" i="11"/>
  <c r="G113" i="11"/>
  <c r="G114" i="11"/>
  <c r="G115" i="11"/>
  <c r="G116" i="11"/>
  <c r="G118" i="11"/>
  <c r="G2" i="4"/>
  <c r="K21" i="4"/>
  <c r="I21" i="4"/>
  <c r="G21" i="4"/>
  <c r="K13" i="4"/>
  <c r="I13" i="4"/>
  <c r="G13" i="4"/>
  <c r="G12" i="4"/>
  <c r="I12" i="4"/>
  <c r="K12" i="4"/>
  <c r="M12" i="4"/>
  <c r="G44" i="1"/>
  <c r="L377" i="1"/>
  <c r="G86" i="7"/>
  <c r="M86" i="7" s="1"/>
  <c r="G37" i="6"/>
  <c r="G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G3" i="10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P52" i="8"/>
  <c r="G53" i="8"/>
  <c r="G54" i="8"/>
  <c r="P54" i="8" s="1"/>
  <c r="G55" i="8"/>
  <c r="P55" i="8" s="1"/>
  <c r="G56" i="8"/>
  <c r="P56" i="8" s="1"/>
  <c r="G57" i="8"/>
  <c r="P57" i="8" s="1"/>
  <c r="G58" i="8"/>
  <c r="P58" i="8" s="1"/>
  <c r="G59" i="8"/>
  <c r="P59" i="8" s="1"/>
  <c r="G60" i="8"/>
  <c r="P60" i="8" s="1"/>
  <c r="G61" i="8"/>
  <c r="P61" i="8" s="1"/>
  <c r="G62" i="8"/>
  <c r="P62" i="8" s="1"/>
  <c r="G63" i="8"/>
  <c r="P63" i="8" s="1"/>
  <c r="G64" i="8"/>
  <c r="P64" i="8" s="1"/>
  <c r="G65" i="8"/>
  <c r="P65" i="8" s="1"/>
  <c r="G66" i="8"/>
  <c r="P66" i="8" s="1"/>
  <c r="G67" i="8"/>
  <c r="P67" i="8" s="1"/>
  <c r="G68" i="8"/>
  <c r="P68" i="8" s="1"/>
  <c r="G69" i="8"/>
  <c r="P69" i="8" s="1"/>
  <c r="G70" i="8"/>
  <c r="P70" i="8" s="1"/>
  <c r="G71" i="8"/>
  <c r="P71" i="8" s="1"/>
  <c r="G72" i="8"/>
  <c r="P72" i="8" s="1"/>
  <c r="G73" i="8"/>
  <c r="P73" i="8" s="1"/>
  <c r="G74" i="8"/>
  <c r="P74" i="8" s="1"/>
  <c r="G75" i="8"/>
  <c r="P75" i="8" s="1"/>
  <c r="G76" i="8"/>
  <c r="P76" i="8" s="1"/>
  <c r="G77" i="8"/>
  <c r="G78" i="8"/>
  <c r="G79" i="8"/>
  <c r="G80" i="8"/>
  <c r="G81" i="8"/>
  <c r="G82" i="8"/>
  <c r="P82" i="8" s="1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O48" i="10"/>
  <c r="O49" i="10"/>
  <c r="O50" i="10"/>
  <c r="O51" i="10"/>
  <c r="O52" i="10"/>
  <c r="O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2" i="10"/>
  <c r="L123" i="10"/>
  <c r="L124" i="10"/>
  <c r="L125" i="10"/>
  <c r="L126" i="10"/>
  <c r="L127" i="10"/>
  <c r="L128" i="10"/>
  <c r="L129" i="10"/>
  <c r="L130" i="10"/>
  <c r="L131" i="10"/>
  <c r="L132" i="10"/>
  <c r="L133" i="10"/>
  <c r="L134" i="10"/>
  <c r="L135" i="10"/>
  <c r="L136" i="10"/>
  <c r="L137" i="10"/>
  <c r="L138" i="10"/>
  <c r="L139" i="10"/>
  <c r="L140" i="10"/>
  <c r="L141" i="10"/>
  <c r="L142" i="10"/>
  <c r="L143" i="10"/>
  <c r="L48" i="10"/>
  <c r="L49" i="10"/>
  <c r="L50" i="10"/>
  <c r="L51" i="10"/>
  <c r="L52" i="10"/>
  <c r="L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13" i="10"/>
  <c r="I114" i="10"/>
  <c r="I115" i="10"/>
  <c r="I116" i="10"/>
  <c r="I117" i="10"/>
  <c r="I118" i="10"/>
  <c r="I119" i="10"/>
  <c r="I120" i="10"/>
  <c r="I121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J96" i="10" s="1"/>
  <c r="G97" i="10"/>
  <c r="J97" i="10" s="1"/>
  <c r="G98" i="10"/>
  <c r="G99" i="10"/>
  <c r="G100" i="10"/>
  <c r="G101" i="10"/>
  <c r="G102" i="10"/>
  <c r="G103" i="10"/>
  <c r="J103" i="10" s="1"/>
  <c r="G104" i="10"/>
  <c r="J104" i="10" s="1"/>
  <c r="G105" i="10"/>
  <c r="J105" i="10" s="1"/>
  <c r="G106" i="10"/>
  <c r="J106" i="10" s="1"/>
  <c r="G107" i="10"/>
  <c r="G108" i="10"/>
  <c r="G109" i="10"/>
  <c r="G110" i="10"/>
  <c r="G111" i="10"/>
  <c r="J111" i="10" s="1"/>
  <c r="G112" i="10"/>
  <c r="J112" i="10" s="1"/>
  <c r="G113" i="10"/>
  <c r="G114" i="10"/>
  <c r="J114" i="10" s="1"/>
  <c r="G115" i="10"/>
  <c r="G116" i="10"/>
  <c r="G117" i="10"/>
  <c r="G118" i="10"/>
  <c r="G119" i="10"/>
  <c r="G120" i="10"/>
  <c r="G121" i="10"/>
  <c r="G122" i="10"/>
  <c r="J122" i="10" s="1"/>
  <c r="G123" i="10"/>
  <c r="J123" i="10" s="1"/>
  <c r="G124" i="10"/>
  <c r="G125" i="10"/>
  <c r="G126" i="10"/>
  <c r="G127" i="10"/>
  <c r="G128" i="10"/>
  <c r="J128" i="10" s="1"/>
  <c r="G129" i="10"/>
  <c r="G130" i="10"/>
  <c r="J130" i="10" s="1"/>
  <c r="G131" i="10"/>
  <c r="J131" i="10" s="1"/>
  <c r="G132" i="10"/>
  <c r="G133" i="10"/>
  <c r="G134" i="10"/>
  <c r="G135" i="10"/>
  <c r="G136" i="10"/>
  <c r="J136" i="10" s="1"/>
  <c r="G137" i="10"/>
  <c r="G138" i="10"/>
  <c r="J138" i="10" s="1"/>
  <c r="G139" i="10"/>
  <c r="J139" i="10" s="1"/>
  <c r="G140" i="10"/>
  <c r="G141" i="10"/>
  <c r="G142" i="10"/>
  <c r="G143" i="10"/>
  <c r="G144" i="10"/>
  <c r="J144" i="10" s="1"/>
  <c r="G145" i="10"/>
  <c r="G146" i="10"/>
  <c r="G147" i="10"/>
  <c r="G148" i="10"/>
  <c r="G149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4" i="10"/>
  <c r="G5" i="10"/>
  <c r="G6" i="10"/>
  <c r="G7" i="10"/>
  <c r="G8" i="10"/>
  <c r="G9" i="10"/>
  <c r="G10" i="10"/>
  <c r="G2" i="10"/>
  <c r="J89" i="10"/>
  <c r="J109" i="10"/>
  <c r="J113" i="10"/>
  <c r="J121" i="10"/>
  <c r="J129" i="10"/>
  <c r="J137" i="10"/>
  <c r="J145" i="10"/>
  <c r="I90" i="10"/>
  <c r="I91" i="10"/>
  <c r="I92" i="10"/>
  <c r="J92" i="10" s="1"/>
  <c r="I93" i="10"/>
  <c r="J93" i="10" s="1"/>
  <c r="I94" i="10"/>
  <c r="I95" i="10"/>
  <c r="I39" i="10"/>
  <c r="I48" i="10"/>
  <c r="I33" i="10"/>
  <c r="M33" i="10" s="1"/>
  <c r="I32" i="10"/>
  <c r="I31" i="10"/>
  <c r="M31" i="10" s="1"/>
  <c r="I30" i="10"/>
  <c r="M30" i="10" s="1"/>
  <c r="I15" i="10"/>
  <c r="M15" i="10" s="1"/>
  <c r="I16" i="10"/>
  <c r="I17" i="10"/>
  <c r="I18" i="10"/>
  <c r="M18" i="10" s="1"/>
  <c r="I19" i="10"/>
  <c r="M19" i="10" s="1"/>
  <c r="I20" i="10"/>
  <c r="M20" i="10" s="1"/>
  <c r="I21" i="10"/>
  <c r="M21" i="10" s="1"/>
  <c r="I22" i="10"/>
  <c r="I23" i="10"/>
  <c r="M23" i="10" s="1"/>
  <c r="I24" i="10"/>
  <c r="I25" i="10"/>
  <c r="M25" i="10" s="1"/>
  <c r="I11" i="10"/>
  <c r="J11" i="10" s="1"/>
  <c r="I44" i="10"/>
  <c r="J44" i="10" s="1"/>
  <c r="I12" i="10"/>
  <c r="M12" i="10" s="1"/>
  <c r="I13" i="10"/>
  <c r="I14" i="10"/>
  <c r="M2" i="10"/>
  <c r="I3" i="10"/>
  <c r="M3" i="10" s="1"/>
  <c r="I4" i="10"/>
  <c r="I5" i="10"/>
  <c r="M5" i="10" s="1"/>
  <c r="I6" i="10"/>
  <c r="M6" i="10" s="1"/>
  <c r="I7" i="10"/>
  <c r="J7" i="10" s="1"/>
  <c r="I8" i="10"/>
  <c r="M8" i="10" s="1"/>
  <c r="I9" i="10"/>
  <c r="M9" i="10" s="1"/>
  <c r="I10" i="10"/>
  <c r="M10" i="10" s="1"/>
  <c r="I26" i="10"/>
  <c r="I27" i="10"/>
  <c r="I28" i="10"/>
  <c r="M28" i="10" s="1"/>
  <c r="I29" i="10"/>
  <c r="M29" i="10" s="1"/>
  <c r="I49" i="10"/>
  <c r="I50" i="10"/>
  <c r="I51" i="10"/>
  <c r="I52" i="10"/>
  <c r="I34" i="10"/>
  <c r="J34" i="10" s="1"/>
  <c r="L34" i="10"/>
  <c r="O34" i="10"/>
  <c r="I35" i="10"/>
  <c r="J35" i="10" s="1"/>
  <c r="L35" i="10"/>
  <c r="O35" i="10"/>
  <c r="I36" i="10"/>
  <c r="L36" i="10"/>
  <c r="O36" i="10"/>
  <c r="I37" i="10"/>
  <c r="L37" i="10"/>
  <c r="O37" i="10"/>
  <c r="I38" i="10"/>
  <c r="L38" i="10"/>
  <c r="O38" i="10"/>
  <c r="L39" i="10"/>
  <c r="O39" i="10"/>
  <c r="I40" i="10"/>
  <c r="J40" i="10" s="1"/>
  <c r="L40" i="10"/>
  <c r="O40" i="10"/>
  <c r="I41" i="10"/>
  <c r="L41" i="10"/>
  <c r="O41" i="10"/>
  <c r="I42" i="10"/>
  <c r="J42" i="10" s="1"/>
  <c r="L42" i="10"/>
  <c r="O42" i="10"/>
  <c r="I43" i="10"/>
  <c r="J43" i="10" s="1"/>
  <c r="L43" i="10"/>
  <c r="O43" i="10"/>
  <c r="L44" i="10"/>
  <c r="O44" i="10"/>
  <c r="I45" i="10"/>
  <c r="J45" i="10" s="1"/>
  <c r="L45" i="10"/>
  <c r="O45" i="10"/>
  <c r="I46" i="10"/>
  <c r="J46" i="10" s="1"/>
  <c r="L46" i="10"/>
  <c r="O46" i="10"/>
  <c r="I47" i="10"/>
  <c r="L47" i="10"/>
  <c r="O47" i="10"/>
  <c r="I53" i="10"/>
  <c r="L53" i="10"/>
  <c r="O53" i="10"/>
  <c r="I54" i="10"/>
  <c r="J54" i="10" s="1"/>
  <c r="L54" i="10"/>
  <c r="O54" i="10"/>
  <c r="I55" i="10"/>
  <c r="L55" i="10"/>
  <c r="O55" i="10"/>
  <c r="I56" i="10"/>
  <c r="J56" i="10" s="1"/>
  <c r="L56" i="10"/>
  <c r="O56" i="10"/>
  <c r="I57" i="10"/>
  <c r="L57" i="10"/>
  <c r="O57" i="10"/>
  <c r="I58" i="10"/>
  <c r="J58" i="10" s="1"/>
  <c r="L58" i="10"/>
  <c r="O58" i="10"/>
  <c r="I59" i="10"/>
  <c r="J59" i="10" s="1"/>
  <c r="L59" i="10"/>
  <c r="O59" i="10"/>
  <c r="I60" i="10"/>
  <c r="L60" i="10"/>
  <c r="O60" i="10"/>
  <c r="I61" i="10"/>
  <c r="L61" i="10"/>
  <c r="O61" i="10"/>
  <c r="I62" i="10"/>
  <c r="L62" i="10"/>
  <c r="O62" i="10"/>
  <c r="I63" i="10"/>
  <c r="L63" i="10"/>
  <c r="O63" i="10"/>
  <c r="I64" i="10"/>
  <c r="J64" i="10" s="1"/>
  <c r="L64" i="10"/>
  <c r="O64" i="10"/>
  <c r="I65" i="10"/>
  <c r="L65" i="10"/>
  <c r="O65" i="10"/>
  <c r="I66" i="10"/>
  <c r="J66" i="10" s="1"/>
  <c r="L66" i="10"/>
  <c r="O66" i="10"/>
  <c r="I67" i="10"/>
  <c r="J67" i="10" s="1"/>
  <c r="L67" i="10"/>
  <c r="O67" i="10"/>
  <c r="I68" i="10"/>
  <c r="L68" i="10"/>
  <c r="O68" i="10"/>
  <c r="I69" i="10"/>
  <c r="J69" i="10" s="1"/>
  <c r="L69" i="10"/>
  <c r="O69" i="10"/>
  <c r="I70" i="10"/>
  <c r="L70" i="10"/>
  <c r="O70" i="10"/>
  <c r="I71" i="10"/>
  <c r="L71" i="10"/>
  <c r="O71" i="10"/>
  <c r="I72" i="10"/>
  <c r="L72" i="10"/>
  <c r="O72" i="10"/>
  <c r="I73" i="10"/>
  <c r="J73" i="10" s="1"/>
  <c r="L73" i="10"/>
  <c r="O73" i="10"/>
  <c r="I74" i="10"/>
  <c r="L74" i="10"/>
  <c r="O74" i="10"/>
  <c r="I75" i="10"/>
  <c r="L75" i="10"/>
  <c r="O75" i="10"/>
  <c r="I76" i="10"/>
  <c r="J76" i="10" s="1"/>
  <c r="L76" i="10"/>
  <c r="O76" i="10"/>
  <c r="I77" i="10"/>
  <c r="J77" i="10" s="1"/>
  <c r="L77" i="10"/>
  <c r="O77" i="10"/>
  <c r="I78" i="10"/>
  <c r="L78" i="10"/>
  <c r="O78" i="10"/>
  <c r="I79" i="10"/>
  <c r="L79" i="10"/>
  <c r="O79" i="10"/>
  <c r="I80" i="10"/>
  <c r="L80" i="10"/>
  <c r="O80" i="10"/>
  <c r="I81" i="10"/>
  <c r="J81" i="10" s="1"/>
  <c r="L81" i="10"/>
  <c r="O81" i="10"/>
  <c r="I82" i="10"/>
  <c r="J82" i="10" s="1"/>
  <c r="L82" i="10"/>
  <c r="O82" i="10"/>
  <c r="I83" i="10"/>
  <c r="L83" i="10"/>
  <c r="O83" i="10"/>
  <c r="I84" i="10"/>
  <c r="J84" i="10" s="1"/>
  <c r="L84" i="10"/>
  <c r="O84" i="10"/>
  <c r="I85" i="10"/>
  <c r="J85" i="10" s="1"/>
  <c r="L85" i="10"/>
  <c r="O85" i="10"/>
  <c r="I86" i="10"/>
  <c r="L86" i="10"/>
  <c r="O86" i="10"/>
  <c r="I87" i="10"/>
  <c r="L87" i="10"/>
  <c r="O87" i="10"/>
  <c r="I88" i="10"/>
  <c r="L88" i="10"/>
  <c r="O88" i="10"/>
  <c r="O19" i="9"/>
  <c r="L19" i="9"/>
  <c r="I19" i="9"/>
  <c r="G19" i="9"/>
  <c r="O18" i="9"/>
  <c r="L18" i="9"/>
  <c r="I18" i="9"/>
  <c r="G18" i="9"/>
  <c r="O17" i="9"/>
  <c r="L17" i="9"/>
  <c r="I17" i="9"/>
  <c r="G17" i="9"/>
  <c r="O16" i="9"/>
  <c r="L16" i="9"/>
  <c r="I16" i="9"/>
  <c r="G16" i="9"/>
  <c r="P16" i="9" s="1"/>
  <c r="O15" i="9"/>
  <c r="L15" i="9"/>
  <c r="I15" i="9"/>
  <c r="G15" i="9"/>
  <c r="O14" i="9"/>
  <c r="L14" i="9"/>
  <c r="I14" i="9"/>
  <c r="G14" i="9"/>
  <c r="O13" i="9"/>
  <c r="L13" i="9"/>
  <c r="I13" i="9"/>
  <c r="G13" i="9"/>
  <c r="O12" i="9"/>
  <c r="L12" i="9"/>
  <c r="I12" i="9"/>
  <c r="G12" i="9"/>
  <c r="J12" i="9" s="1"/>
  <c r="O11" i="9"/>
  <c r="L11" i="9"/>
  <c r="I11" i="9"/>
  <c r="G11" i="9"/>
  <c r="O10" i="9"/>
  <c r="L10" i="9"/>
  <c r="I10" i="9"/>
  <c r="G10" i="9"/>
  <c r="O9" i="9"/>
  <c r="L9" i="9"/>
  <c r="I9" i="9"/>
  <c r="G9" i="9"/>
  <c r="O8" i="9"/>
  <c r="L8" i="9"/>
  <c r="I8" i="9"/>
  <c r="G8" i="9"/>
  <c r="P8" i="9" s="1"/>
  <c r="O7" i="9"/>
  <c r="L7" i="9"/>
  <c r="I7" i="9"/>
  <c r="G7" i="9"/>
  <c r="O6" i="9"/>
  <c r="L6" i="9"/>
  <c r="I6" i="9"/>
  <c r="G6" i="9"/>
  <c r="O5" i="9"/>
  <c r="L5" i="9"/>
  <c r="I5" i="9"/>
  <c r="G5" i="9"/>
  <c r="O4" i="9"/>
  <c r="L4" i="9"/>
  <c r="I4" i="9"/>
  <c r="G4" i="9"/>
  <c r="O3" i="9"/>
  <c r="L3" i="9"/>
  <c r="I3" i="9"/>
  <c r="G3" i="9"/>
  <c r="R3" i="8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3" i="8"/>
  <c r="I4" i="8"/>
  <c r="I5" i="8"/>
  <c r="I6" i="8"/>
  <c r="I7" i="8"/>
  <c r="R2" i="8"/>
  <c r="L2" i="8"/>
  <c r="O2" i="8"/>
  <c r="I2" i="8"/>
  <c r="G51" i="8"/>
  <c r="S51" i="8" s="1"/>
  <c r="G50" i="8"/>
  <c r="S50" i="8" s="1"/>
  <c r="G49" i="8"/>
  <c r="S49" i="8" s="1"/>
  <c r="G48" i="8"/>
  <c r="S48" i="8" s="1"/>
  <c r="G47" i="8"/>
  <c r="S47" i="8" s="1"/>
  <c r="G46" i="8"/>
  <c r="S46" i="8" s="1"/>
  <c r="G45" i="8"/>
  <c r="S45" i="8" s="1"/>
  <c r="G44" i="8"/>
  <c r="S44" i="8" s="1"/>
  <c r="G43" i="8"/>
  <c r="S43" i="8" s="1"/>
  <c r="G42" i="8"/>
  <c r="S42" i="8" s="1"/>
  <c r="G41" i="8"/>
  <c r="G40" i="8"/>
  <c r="S40" i="8" s="1"/>
  <c r="G39" i="8"/>
  <c r="G38" i="8"/>
  <c r="S38" i="8" s="1"/>
  <c r="G37" i="8"/>
  <c r="S37" i="8" s="1"/>
  <c r="G36" i="8"/>
  <c r="S36" i="8" s="1"/>
  <c r="G35" i="8"/>
  <c r="S35" i="8" s="1"/>
  <c r="G34" i="8"/>
  <c r="G33" i="8"/>
  <c r="S33" i="8" s="1"/>
  <c r="G32" i="8"/>
  <c r="S32" i="8" s="1"/>
  <c r="G31" i="8"/>
  <c r="G30" i="8"/>
  <c r="S30" i="8" s="1"/>
  <c r="G29" i="8"/>
  <c r="S29" i="8" s="1"/>
  <c r="G28" i="8"/>
  <c r="S28" i="8" s="1"/>
  <c r="G27" i="8"/>
  <c r="S27" i="8" s="1"/>
  <c r="G26" i="8"/>
  <c r="S26" i="8" s="1"/>
  <c r="G25" i="8"/>
  <c r="G24" i="8"/>
  <c r="G23" i="8"/>
  <c r="G22" i="8"/>
  <c r="S22" i="8" s="1"/>
  <c r="G21" i="8"/>
  <c r="S21" i="8" s="1"/>
  <c r="G20" i="8"/>
  <c r="S20" i="8" s="1"/>
  <c r="G19" i="8"/>
  <c r="S19" i="8" s="1"/>
  <c r="G18" i="8"/>
  <c r="S16" i="8"/>
  <c r="G15" i="8"/>
  <c r="S15" i="8" s="1"/>
  <c r="G14" i="8"/>
  <c r="S14" i="8" s="1"/>
  <c r="G13" i="8"/>
  <c r="S13" i="8" s="1"/>
  <c r="G12" i="8"/>
  <c r="S12" i="8" s="1"/>
  <c r="G11" i="8"/>
  <c r="G10" i="8"/>
  <c r="S10" i="8" s="1"/>
  <c r="G9" i="8"/>
  <c r="G8" i="8"/>
  <c r="S8" i="8" s="1"/>
  <c r="G7" i="8"/>
  <c r="S7" i="8" s="1"/>
  <c r="G6" i="8"/>
  <c r="S6" i="8" s="1"/>
  <c r="G5" i="8"/>
  <c r="S5" i="8" s="1"/>
  <c r="G4" i="8"/>
  <c r="G3" i="8"/>
  <c r="S3" i="8" s="1"/>
  <c r="G2" i="8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2" i="6"/>
  <c r="G39" i="7"/>
  <c r="G2" i="7"/>
  <c r="I2" i="7"/>
  <c r="L2" i="7"/>
  <c r="O2" i="7"/>
  <c r="G3" i="7"/>
  <c r="I3" i="7"/>
  <c r="L3" i="7"/>
  <c r="M3" i="7" s="1"/>
  <c r="O3" i="7"/>
  <c r="G4" i="7"/>
  <c r="I4" i="7"/>
  <c r="L4" i="7"/>
  <c r="O4" i="7"/>
  <c r="G5" i="7"/>
  <c r="I5" i="7"/>
  <c r="L5" i="7"/>
  <c r="O5" i="7"/>
  <c r="P5" i="7" s="1"/>
  <c r="G6" i="7"/>
  <c r="I6" i="7"/>
  <c r="L6" i="7"/>
  <c r="O6" i="7"/>
  <c r="G7" i="7"/>
  <c r="I7" i="7"/>
  <c r="L7" i="7"/>
  <c r="O7" i="7"/>
  <c r="P7" i="7" s="1"/>
  <c r="G8" i="7"/>
  <c r="I8" i="7"/>
  <c r="L8" i="7"/>
  <c r="O8" i="7"/>
  <c r="G9" i="7"/>
  <c r="I9" i="7"/>
  <c r="L9" i="7"/>
  <c r="O9" i="7"/>
  <c r="G10" i="7"/>
  <c r="I10" i="7"/>
  <c r="L10" i="7"/>
  <c r="O10" i="7"/>
  <c r="G11" i="7"/>
  <c r="I11" i="7"/>
  <c r="J11" i="7" s="1"/>
  <c r="L11" i="7"/>
  <c r="O11" i="7"/>
  <c r="G12" i="7"/>
  <c r="I12" i="7"/>
  <c r="L12" i="7"/>
  <c r="O12" i="7"/>
  <c r="P12" i="7"/>
  <c r="G13" i="7"/>
  <c r="I13" i="7"/>
  <c r="L13" i="7"/>
  <c r="O13" i="7"/>
  <c r="G14" i="7"/>
  <c r="I14" i="7"/>
  <c r="L14" i="7"/>
  <c r="M14" i="7"/>
  <c r="O14" i="7"/>
  <c r="G15" i="7"/>
  <c r="I15" i="7"/>
  <c r="L15" i="7"/>
  <c r="M15" i="7"/>
  <c r="O15" i="7"/>
  <c r="P15" i="7" s="1"/>
  <c r="G16" i="7"/>
  <c r="I16" i="7"/>
  <c r="L16" i="7"/>
  <c r="O16" i="7"/>
  <c r="G17" i="7"/>
  <c r="I17" i="7"/>
  <c r="L17" i="7"/>
  <c r="O17" i="7"/>
  <c r="G18" i="7"/>
  <c r="I18" i="7"/>
  <c r="L18" i="7"/>
  <c r="O18" i="7"/>
  <c r="G19" i="7"/>
  <c r="I19" i="7"/>
  <c r="J19" i="7" s="1"/>
  <c r="L19" i="7"/>
  <c r="O19" i="7"/>
  <c r="G20" i="7"/>
  <c r="I20" i="7"/>
  <c r="L20" i="7"/>
  <c r="M20" i="7" s="1"/>
  <c r="O20" i="7"/>
  <c r="P20" i="7"/>
  <c r="G21" i="7"/>
  <c r="I21" i="7"/>
  <c r="L21" i="7"/>
  <c r="O21" i="7"/>
  <c r="G22" i="7"/>
  <c r="I22" i="7"/>
  <c r="L22" i="7"/>
  <c r="M22" i="7"/>
  <c r="O22" i="7"/>
  <c r="G23" i="7"/>
  <c r="I23" i="7"/>
  <c r="L23" i="7"/>
  <c r="O23" i="7"/>
  <c r="G24" i="7"/>
  <c r="I24" i="7"/>
  <c r="L24" i="7"/>
  <c r="O24" i="7"/>
  <c r="G25" i="7"/>
  <c r="I25" i="7"/>
  <c r="L25" i="7"/>
  <c r="O25" i="7"/>
  <c r="G26" i="7"/>
  <c r="I26" i="7"/>
  <c r="L26" i="7"/>
  <c r="O26" i="7"/>
  <c r="G27" i="7"/>
  <c r="I27" i="7"/>
  <c r="L27" i="7"/>
  <c r="O27" i="7"/>
  <c r="G28" i="7"/>
  <c r="I28" i="7"/>
  <c r="L28" i="7"/>
  <c r="O28" i="7"/>
  <c r="G29" i="7"/>
  <c r="I29" i="7"/>
  <c r="L29" i="7"/>
  <c r="O29" i="7"/>
  <c r="G30" i="7"/>
  <c r="I30" i="7"/>
  <c r="L30" i="7"/>
  <c r="O30" i="7"/>
  <c r="G31" i="7"/>
  <c r="I31" i="7"/>
  <c r="L31" i="7"/>
  <c r="M31" i="7"/>
  <c r="O31" i="7"/>
  <c r="P31" i="7" s="1"/>
  <c r="G32" i="7"/>
  <c r="I32" i="7"/>
  <c r="L32" i="7"/>
  <c r="O32" i="7"/>
  <c r="G33" i="7"/>
  <c r="I33" i="7"/>
  <c r="L33" i="7"/>
  <c r="O33" i="7"/>
  <c r="G34" i="7"/>
  <c r="I34" i="7"/>
  <c r="L34" i="7"/>
  <c r="O34" i="7"/>
  <c r="G35" i="7"/>
  <c r="I35" i="7"/>
  <c r="L35" i="7"/>
  <c r="O35" i="7"/>
  <c r="G36" i="7"/>
  <c r="I36" i="7"/>
  <c r="J36" i="7"/>
  <c r="L36" i="7"/>
  <c r="M36" i="7" s="1"/>
  <c r="O36" i="7"/>
  <c r="P36" i="7"/>
  <c r="G37" i="7"/>
  <c r="I37" i="7"/>
  <c r="L37" i="7"/>
  <c r="O37" i="7"/>
  <c r="G38" i="7"/>
  <c r="I38" i="7"/>
  <c r="L38" i="7"/>
  <c r="M38" i="7"/>
  <c r="O38" i="7"/>
  <c r="I39" i="7"/>
  <c r="J39" i="7" s="1"/>
  <c r="L39" i="7"/>
  <c r="M39" i="7"/>
  <c r="O39" i="7"/>
  <c r="P39" i="7" s="1"/>
  <c r="G40" i="7"/>
  <c r="I40" i="7"/>
  <c r="L40" i="7"/>
  <c r="O40" i="7"/>
  <c r="G41" i="7"/>
  <c r="I41" i="7"/>
  <c r="L41" i="7"/>
  <c r="O41" i="7"/>
  <c r="G42" i="7"/>
  <c r="I42" i="7"/>
  <c r="L42" i="7"/>
  <c r="O42" i="7"/>
  <c r="G43" i="7"/>
  <c r="I43" i="7"/>
  <c r="L43" i="7"/>
  <c r="O43" i="7"/>
  <c r="G44" i="7"/>
  <c r="I44" i="7"/>
  <c r="L44" i="7"/>
  <c r="M44" i="7" s="1"/>
  <c r="O44" i="7"/>
  <c r="G45" i="7"/>
  <c r="I45" i="7"/>
  <c r="J45" i="7"/>
  <c r="L45" i="7"/>
  <c r="O45" i="7"/>
  <c r="G46" i="7"/>
  <c r="I46" i="7"/>
  <c r="L46" i="7"/>
  <c r="M46" i="7"/>
  <c r="O46" i="7"/>
  <c r="G47" i="7"/>
  <c r="I47" i="7"/>
  <c r="J47" i="7" s="1"/>
  <c r="L47" i="7"/>
  <c r="O47" i="7"/>
  <c r="G48" i="7"/>
  <c r="I48" i="7"/>
  <c r="L48" i="7"/>
  <c r="O48" i="7"/>
  <c r="G49" i="7"/>
  <c r="I49" i="7"/>
  <c r="L49" i="7"/>
  <c r="O49" i="7"/>
  <c r="G50" i="7"/>
  <c r="I50" i="7"/>
  <c r="L50" i="7"/>
  <c r="O50" i="7"/>
  <c r="G51" i="7"/>
  <c r="I51" i="7"/>
  <c r="L51" i="7"/>
  <c r="O51" i="7"/>
  <c r="G52" i="7"/>
  <c r="I52" i="7"/>
  <c r="J52" i="7"/>
  <c r="L52" i="7"/>
  <c r="M52" i="7" s="1"/>
  <c r="O52" i="7"/>
  <c r="P52" i="7"/>
  <c r="G53" i="7"/>
  <c r="I53" i="7"/>
  <c r="J53" i="7"/>
  <c r="L53" i="7"/>
  <c r="M53" i="7" s="1"/>
  <c r="O53" i="7"/>
  <c r="G54" i="7"/>
  <c r="I54" i="7"/>
  <c r="L54" i="7"/>
  <c r="M54" i="7"/>
  <c r="O54" i="7"/>
  <c r="G55" i="7"/>
  <c r="I55" i="7"/>
  <c r="J55" i="7" s="1"/>
  <c r="L55" i="7"/>
  <c r="M55" i="7"/>
  <c r="O55" i="7"/>
  <c r="P55" i="7" s="1"/>
  <c r="G56" i="7"/>
  <c r="I56" i="7"/>
  <c r="J56" i="7"/>
  <c r="L56" i="7"/>
  <c r="M56" i="7"/>
  <c r="O56" i="7"/>
  <c r="P56" i="7"/>
  <c r="G57" i="7"/>
  <c r="I57" i="7"/>
  <c r="L57" i="7"/>
  <c r="O57" i="7"/>
  <c r="G58" i="7"/>
  <c r="I58" i="7"/>
  <c r="L58" i="7"/>
  <c r="O58" i="7"/>
  <c r="G59" i="7"/>
  <c r="I59" i="7"/>
  <c r="J59" i="7" s="1"/>
  <c r="L59" i="7"/>
  <c r="O59" i="7"/>
  <c r="G60" i="7"/>
  <c r="I60" i="7"/>
  <c r="J60" i="7"/>
  <c r="L60" i="7"/>
  <c r="O60" i="7"/>
  <c r="P60" i="7"/>
  <c r="G61" i="7"/>
  <c r="I61" i="7"/>
  <c r="J61" i="7"/>
  <c r="L61" i="7"/>
  <c r="M61" i="7" s="1"/>
  <c r="O61" i="7"/>
  <c r="P61" i="7" s="1"/>
  <c r="G62" i="7"/>
  <c r="I62" i="7"/>
  <c r="L62" i="7"/>
  <c r="M62" i="7"/>
  <c r="O62" i="7"/>
  <c r="G63" i="7"/>
  <c r="I63" i="7"/>
  <c r="L63" i="7"/>
  <c r="M63" i="7"/>
  <c r="O63" i="7"/>
  <c r="P63" i="7" s="1"/>
  <c r="G64" i="7"/>
  <c r="I64" i="7"/>
  <c r="J64" i="7"/>
  <c r="L64" i="7"/>
  <c r="M64" i="7"/>
  <c r="O64" i="7"/>
  <c r="P64" i="7"/>
  <c r="G65" i="7"/>
  <c r="I65" i="7"/>
  <c r="L65" i="7"/>
  <c r="O65" i="7"/>
  <c r="G66" i="7"/>
  <c r="I66" i="7"/>
  <c r="L66" i="7"/>
  <c r="O66" i="7"/>
  <c r="G67" i="7"/>
  <c r="I67" i="7"/>
  <c r="J67" i="7" s="1"/>
  <c r="L67" i="7"/>
  <c r="O67" i="7"/>
  <c r="G68" i="7"/>
  <c r="I68" i="7"/>
  <c r="J68" i="7"/>
  <c r="L68" i="7"/>
  <c r="O68" i="7"/>
  <c r="P68" i="7"/>
  <c r="G69" i="7"/>
  <c r="I69" i="7"/>
  <c r="J69" i="7"/>
  <c r="L69" i="7"/>
  <c r="M69" i="7" s="1"/>
  <c r="O69" i="7"/>
  <c r="G70" i="7"/>
  <c r="I70" i="7"/>
  <c r="L70" i="7"/>
  <c r="M70" i="7"/>
  <c r="O70" i="7"/>
  <c r="G71" i="7"/>
  <c r="I71" i="7"/>
  <c r="J71" i="7" s="1"/>
  <c r="L71" i="7"/>
  <c r="M71" i="7"/>
  <c r="O71" i="7"/>
  <c r="P71" i="7" s="1"/>
  <c r="G72" i="7"/>
  <c r="I72" i="7"/>
  <c r="J72" i="7"/>
  <c r="L72" i="7"/>
  <c r="M72" i="7"/>
  <c r="O72" i="7"/>
  <c r="P72" i="7"/>
  <c r="G73" i="7"/>
  <c r="I73" i="7"/>
  <c r="L73" i="7"/>
  <c r="O73" i="7"/>
  <c r="G74" i="7"/>
  <c r="I74" i="7"/>
  <c r="L74" i="7"/>
  <c r="O74" i="7"/>
  <c r="G75" i="7"/>
  <c r="I75" i="7"/>
  <c r="J75" i="7" s="1"/>
  <c r="L75" i="7"/>
  <c r="O75" i="7"/>
  <c r="G76" i="7"/>
  <c r="I76" i="7"/>
  <c r="J76" i="7"/>
  <c r="L76" i="7"/>
  <c r="O76" i="7"/>
  <c r="P76" i="7"/>
  <c r="G77" i="7"/>
  <c r="I77" i="7"/>
  <c r="J77" i="7"/>
  <c r="L77" i="7"/>
  <c r="M77" i="7" s="1"/>
  <c r="O77" i="7"/>
  <c r="P77" i="7" s="1"/>
  <c r="G78" i="7"/>
  <c r="I78" i="7"/>
  <c r="L78" i="7"/>
  <c r="M78" i="7"/>
  <c r="O78" i="7"/>
  <c r="G79" i="7"/>
  <c r="I79" i="7"/>
  <c r="L79" i="7"/>
  <c r="M79" i="7"/>
  <c r="O79" i="7"/>
  <c r="P79" i="7" s="1"/>
  <c r="G80" i="7"/>
  <c r="I80" i="7"/>
  <c r="J80" i="7"/>
  <c r="L80" i="7"/>
  <c r="M80" i="7"/>
  <c r="O80" i="7"/>
  <c r="P80" i="7"/>
  <c r="G81" i="7"/>
  <c r="I81" i="7"/>
  <c r="L81" i="7"/>
  <c r="O81" i="7"/>
  <c r="G82" i="7"/>
  <c r="I82" i="7"/>
  <c r="L82" i="7"/>
  <c r="O82" i="7"/>
  <c r="G83" i="7"/>
  <c r="I83" i="7"/>
  <c r="J83" i="7" s="1"/>
  <c r="L83" i="7"/>
  <c r="O83" i="7"/>
  <c r="G84" i="7"/>
  <c r="I84" i="7"/>
  <c r="J84" i="7"/>
  <c r="L84" i="7"/>
  <c r="O84" i="7"/>
  <c r="P84" i="7"/>
  <c r="G85" i="7"/>
  <c r="I85" i="7"/>
  <c r="J85" i="7"/>
  <c r="L85" i="7"/>
  <c r="M85" i="7" s="1"/>
  <c r="O85" i="7"/>
  <c r="P85" i="7"/>
  <c r="I86" i="7"/>
  <c r="L86" i="7"/>
  <c r="O86" i="7"/>
  <c r="G87" i="7"/>
  <c r="I87" i="7"/>
  <c r="L87" i="7"/>
  <c r="M87" i="7"/>
  <c r="O87" i="7"/>
  <c r="P87" i="7" s="1"/>
  <c r="G88" i="7"/>
  <c r="I88" i="7"/>
  <c r="J88" i="7"/>
  <c r="L88" i="7"/>
  <c r="M88" i="7"/>
  <c r="O88" i="7"/>
  <c r="P88" i="7"/>
  <c r="G89" i="7"/>
  <c r="I89" i="7"/>
  <c r="L89" i="7"/>
  <c r="O89" i="7"/>
  <c r="G90" i="7"/>
  <c r="I90" i="7"/>
  <c r="L90" i="7"/>
  <c r="O90" i="7"/>
  <c r="G91" i="7"/>
  <c r="I91" i="7"/>
  <c r="J91" i="7" s="1"/>
  <c r="L91" i="7"/>
  <c r="O91" i="7"/>
  <c r="G92" i="7"/>
  <c r="I92" i="7"/>
  <c r="J92" i="7"/>
  <c r="L92" i="7"/>
  <c r="O92" i="7"/>
  <c r="P92" i="7"/>
  <c r="G93" i="7"/>
  <c r="I93" i="7"/>
  <c r="J93" i="7"/>
  <c r="L93" i="7"/>
  <c r="M93" i="7" s="1"/>
  <c r="O93" i="7"/>
  <c r="P93" i="7"/>
  <c r="G94" i="7"/>
  <c r="I94" i="7"/>
  <c r="L94" i="7"/>
  <c r="M94" i="7"/>
  <c r="O94" i="7"/>
  <c r="G95" i="7"/>
  <c r="I95" i="7"/>
  <c r="L95" i="7"/>
  <c r="M95" i="7"/>
  <c r="O95" i="7"/>
  <c r="P95" i="7" s="1"/>
  <c r="G96" i="7"/>
  <c r="I96" i="7"/>
  <c r="J96" i="7"/>
  <c r="L96" i="7"/>
  <c r="M96" i="7"/>
  <c r="O96" i="7"/>
  <c r="P96" i="7"/>
  <c r="G97" i="7"/>
  <c r="I97" i="7"/>
  <c r="L97" i="7"/>
  <c r="O97" i="7"/>
  <c r="G98" i="7"/>
  <c r="I98" i="7"/>
  <c r="L98" i="7"/>
  <c r="O98" i="7"/>
  <c r="G99" i="7"/>
  <c r="I99" i="7"/>
  <c r="J99" i="7" s="1"/>
  <c r="L99" i="7"/>
  <c r="O99" i="7"/>
  <c r="R99" i="7"/>
  <c r="S99" i="7"/>
  <c r="U99" i="7"/>
  <c r="V99" i="7" s="1"/>
  <c r="G100" i="7"/>
  <c r="I100" i="7"/>
  <c r="J100" i="7"/>
  <c r="L100" i="7"/>
  <c r="M100" i="7"/>
  <c r="O100" i="7"/>
  <c r="P100" i="7"/>
  <c r="R100" i="7"/>
  <c r="S100" i="7" s="1"/>
  <c r="U100" i="7"/>
  <c r="V100" i="7"/>
  <c r="G101" i="7"/>
  <c r="I101" i="7"/>
  <c r="J101" i="7"/>
  <c r="L101" i="7"/>
  <c r="M101" i="7" s="1"/>
  <c r="O101" i="7"/>
  <c r="P101" i="7" s="1"/>
  <c r="R101" i="7"/>
  <c r="S101" i="7" s="1"/>
  <c r="U101" i="7"/>
  <c r="V101" i="7"/>
  <c r="G38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G4" i="4"/>
  <c r="K71" i="5"/>
  <c r="I71" i="5"/>
  <c r="G71" i="5"/>
  <c r="L71" i="5" s="1"/>
  <c r="K70" i="5"/>
  <c r="I70" i="5"/>
  <c r="G70" i="5"/>
  <c r="M70" i="5" s="1"/>
  <c r="K69" i="5"/>
  <c r="I69" i="5"/>
  <c r="G69" i="5"/>
  <c r="M69" i="5" s="1"/>
  <c r="M68" i="5"/>
  <c r="K68" i="5"/>
  <c r="I68" i="5"/>
  <c r="G68" i="5"/>
  <c r="L68" i="5" s="1"/>
  <c r="K67" i="5"/>
  <c r="I67" i="5"/>
  <c r="G67" i="5"/>
  <c r="M67" i="5" s="1"/>
  <c r="K66" i="5"/>
  <c r="I66" i="5"/>
  <c r="G66" i="5"/>
  <c r="K65" i="5"/>
  <c r="I65" i="5"/>
  <c r="G65" i="5"/>
  <c r="M65" i="5" s="1"/>
  <c r="K64" i="5"/>
  <c r="I64" i="5"/>
  <c r="G64" i="5"/>
  <c r="K63" i="5"/>
  <c r="I63" i="5"/>
  <c r="G63" i="5"/>
  <c r="L63" i="5" s="1"/>
  <c r="L62" i="5"/>
  <c r="K62" i="5"/>
  <c r="I62" i="5"/>
  <c r="G62" i="5"/>
  <c r="K61" i="5"/>
  <c r="I61" i="5"/>
  <c r="G61" i="5"/>
  <c r="L60" i="5"/>
  <c r="K60" i="5"/>
  <c r="M60" i="5" s="1"/>
  <c r="I60" i="5"/>
  <c r="G60" i="5"/>
  <c r="K59" i="5"/>
  <c r="I59" i="5"/>
  <c r="G59" i="5"/>
  <c r="K58" i="5"/>
  <c r="I58" i="5"/>
  <c r="G58" i="5"/>
  <c r="M58" i="5" s="1"/>
  <c r="K57" i="5"/>
  <c r="I57" i="5"/>
  <c r="G57" i="5"/>
  <c r="M57" i="5" s="1"/>
  <c r="K56" i="5"/>
  <c r="I56" i="5"/>
  <c r="G56" i="5"/>
  <c r="M56" i="5" s="1"/>
  <c r="K55" i="5"/>
  <c r="I55" i="5"/>
  <c r="G55" i="5"/>
  <c r="K54" i="5"/>
  <c r="I54" i="5"/>
  <c r="G54" i="5"/>
  <c r="M54" i="5" s="1"/>
  <c r="K53" i="5"/>
  <c r="I53" i="5"/>
  <c r="G53" i="5"/>
  <c r="M53" i="5" s="1"/>
  <c r="K52" i="5"/>
  <c r="I52" i="5"/>
  <c r="G52" i="5"/>
  <c r="M52" i="5" s="1"/>
  <c r="K51" i="5"/>
  <c r="I51" i="5"/>
  <c r="G51" i="5"/>
  <c r="M51" i="5" s="1"/>
  <c r="K50" i="5"/>
  <c r="I50" i="5"/>
  <c r="G50" i="5"/>
  <c r="M50" i="5" s="1"/>
  <c r="M49" i="5"/>
  <c r="L49" i="5"/>
  <c r="K49" i="5"/>
  <c r="I49" i="5"/>
  <c r="G49" i="5"/>
  <c r="K48" i="5"/>
  <c r="I48" i="5"/>
  <c r="G48" i="5"/>
  <c r="M48" i="5" s="1"/>
  <c r="K47" i="5"/>
  <c r="M47" i="5" s="1"/>
  <c r="I47" i="5"/>
  <c r="G47" i="5"/>
  <c r="L47" i="5" s="1"/>
  <c r="K46" i="5"/>
  <c r="I46" i="5"/>
  <c r="G46" i="5"/>
  <c r="M46" i="5" s="1"/>
  <c r="K45" i="5"/>
  <c r="I45" i="5"/>
  <c r="G45" i="5"/>
  <c r="K44" i="5"/>
  <c r="I44" i="5"/>
  <c r="G44" i="5"/>
  <c r="M44" i="5" s="1"/>
  <c r="K43" i="5"/>
  <c r="I43" i="5"/>
  <c r="G43" i="5"/>
  <c r="K42" i="5"/>
  <c r="I42" i="5"/>
  <c r="G42" i="5"/>
  <c r="M42" i="5" s="1"/>
  <c r="K41" i="5"/>
  <c r="M41" i="5" s="1"/>
  <c r="I41" i="5"/>
  <c r="L41" i="5" s="1"/>
  <c r="G41" i="5"/>
  <c r="K40" i="5"/>
  <c r="I40" i="5"/>
  <c r="G40" i="5"/>
  <c r="M40" i="5" s="1"/>
  <c r="K39" i="5"/>
  <c r="I39" i="5"/>
  <c r="G39" i="5"/>
  <c r="L39" i="5" s="1"/>
  <c r="K38" i="5"/>
  <c r="I38" i="5"/>
  <c r="G38" i="5"/>
  <c r="M38" i="5" s="1"/>
  <c r="K37" i="5"/>
  <c r="I37" i="5"/>
  <c r="G37" i="5"/>
  <c r="M37" i="5" s="1"/>
  <c r="M36" i="5"/>
  <c r="K36" i="5"/>
  <c r="I36" i="5"/>
  <c r="G36" i="5"/>
  <c r="L36" i="5" s="1"/>
  <c r="K35" i="5"/>
  <c r="I35" i="5"/>
  <c r="G35" i="5"/>
  <c r="M35" i="5" s="1"/>
  <c r="K34" i="5"/>
  <c r="I34" i="5"/>
  <c r="G34" i="5"/>
  <c r="K33" i="5"/>
  <c r="I33" i="5"/>
  <c r="G33" i="5"/>
  <c r="M33" i="5" s="1"/>
  <c r="K32" i="5"/>
  <c r="I32" i="5"/>
  <c r="G32" i="5"/>
  <c r="K31" i="5"/>
  <c r="I31" i="5"/>
  <c r="G31" i="5"/>
  <c r="L31" i="5" s="1"/>
  <c r="L30" i="5"/>
  <c r="K30" i="5"/>
  <c r="I30" i="5"/>
  <c r="G30" i="5"/>
  <c r="K29" i="5"/>
  <c r="I29" i="5"/>
  <c r="G29" i="5"/>
  <c r="L28" i="5"/>
  <c r="K28" i="5"/>
  <c r="M28" i="5" s="1"/>
  <c r="I28" i="5"/>
  <c r="G28" i="5"/>
  <c r="K27" i="5"/>
  <c r="I27" i="5"/>
  <c r="G27" i="5"/>
  <c r="K26" i="5"/>
  <c r="I26" i="5"/>
  <c r="G26" i="5"/>
  <c r="M26" i="5" s="1"/>
  <c r="K25" i="5"/>
  <c r="I25" i="5"/>
  <c r="G25" i="5"/>
  <c r="M25" i="5" s="1"/>
  <c r="K24" i="5"/>
  <c r="I24" i="5"/>
  <c r="G24" i="5"/>
  <c r="M24" i="5" s="1"/>
  <c r="K23" i="5"/>
  <c r="I23" i="5"/>
  <c r="G23" i="5"/>
  <c r="K22" i="5"/>
  <c r="I22" i="5"/>
  <c r="G22" i="5"/>
  <c r="M22" i="5" s="1"/>
  <c r="K21" i="5"/>
  <c r="I21" i="5"/>
  <c r="G21" i="5"/>
  <c r="M21" i="5" s="1"/>
  <c r="K20" i="5"/>
  <c r="I20" i="5"/>
  <c r="G20" i="5"/>
  <c r="M20" i="5" s="1"/>
  <c r="K19" i="5"/>
  <c r="I19" i="5"/>
  <c r="G19" i="5"/>
  <c r="M19" i="5" s="1"/>
  <c r="K18" i="5"/>
  <c r="I18" i="5"/>
  <c r="G18" i="5"/>
  <c r="M18" i="5" s="1"/>
  <c r="M17" i="5"/>
  <c r="L17" i="5"/>
  <c r="K17" i="5"/>
  <c r="I17" i="5"/>
  <c r="G17" i="5"/>
  <c r="K16" i="5"/>
  <c r="I16" i="5"/>
  <c r="G16" i="5"/>
  <c r="M16" i="5" s="1"/>
  <c r="K15" i="5"/>
  <c r="M15" i="5" s="1"/>
  <c r="I15" i="5"/>
  <c r="G15" i="5"/>
  <c r="L15" i="5" s="1"/>
  <c r="K14" i="5"/>
  <c r="I14" i="5"/>
  <c r="G14" i="5"/>
  <c r="M14" i="5" s="1"/>
  <c r="K13" i="5"/>
  <c r="I13" i="5"/>
  <c r="G13" i="5"/>
  <c r="K12" i="5"/>
  <c r="I12" i="5"/>
  <c r="G12" i="5"/>
  <c r="M12" i="5" s="1"/>
  <c r="K11" i="5"/>
  <c r="I11" i="5"/>
  <c r="G11" i="5"/>
  <c r="K10" i="5"/>
  <c r="I10" i="5"/>
  <c r="G10" i="5"/>
  <c r="M10" i="5" s="1"/>
  <c r="K9" i="5"/>
  <c r="M9" i="5" s="1"/>
  <c r="I9" i="5"/>
  <c r="L9" i="5" s="1"/>
  <c r="G9" i="5"/>
  <c r="K8" i="5"/>
  <c r="I8" i="5"/>
  <c r="G8" i="5"/>
  <c r="M8" i="5" s="1"/>
  <c r="K7" i="5"/>
  <c r="I7" i="5"/>
  <c r="G7" i="5"/>
  <c r="L7" i="5" s="1"/>
  <c r="K6" i="5"/>
  <c r="I6" i="5"/>
  <c r="G6" i="5"/>
  <c r="M6" i="5" s="1"/>
  <c r="K5" i="5"/>
  <c r="I5" i="5"/>
  <c r="G5" i="5"/>
  <c r="M4" i="5"/>
  <c r="K4" i="5"/>
  <c r="I4" i="5"/>
  <c r="G4" i="5"/>
  <c r="L4" i="5" s="1"/>
  <c r="K3" i="5"/>
  <c r="I3" i="5"/>
  <c r="G3" i="5"/>
  <c r="M3" i="5" s="1"/>
  <c r="K2" i="5"/>
  <c r="I2" i="5"/>
  <c r="G2" i="5"/>
  <c r="G8" i="4"/>
  <c r="K26" i="4"/>
  <c r="I26" i="4"/>
  <c r="G26" i="4"/>
  <c r="M26" i="4" s="1"/>
  <c r="K25" i="4"/>
  <c r="I25" i="4"/>
  <c r="G25" i="4"/>
  <c r="M25" i="4" s="1"/>
  <c r="K24" i="4"/>
  <c r="I24" i="4"/>
  <c r="G24" i="4"/>
  <c r="M24" i="4" s="1"/>
  <c r="K23" i="4"/>
  <c r="I23" i="4"/>
  <c r="G23" i="4"/>
  <c r="M23" i="4" s="1"/>
  <c r="K22" i="4"/>
  <c r="I22" i="4"/>
  <c r="G22" i="4"/>
  <c r="M22" i="4" s="1"/>
  <c r="K20" i="4"/>
  <c r="I20" i="4"/>
  <c r="G20" i="4"/>
  <c r="K19" i="4"/>
  <c r="I19" i="4"/>
  <c r="G19" i="4"/>
  <c r="K18" i="4"/>
  <c r="I18" i="4"/>
  <c r="G18" i="4"/>
  <c r="K17" i="4"/>
  <c r="I17" i="4"/>
  <c r="G17" i="4"/>
  <c r="L17" i="4" s="1"/>
  <c r="K16" i="4"/>
  <c r="I16" i="4"/>
  <c r="G16" i="4"/>
  <c r="K15" i="4"/>
  <c r="I15" i="4"/>
  <c r="G15" i="4"/>
  <c r="M15" i="4" s="1"/>
  <c r="K14" i="4"/>
  <c r="I14" i="4"/>
  <c r="G14" i="4"/>
  <c r="K11" i="4"/>
  <c r="I11" i="4"/>
  <c r="G11" i="4"/>
  <c r="M11" i="4" s="1"/>
  <c r="K10" i="4"/>
  <c r="I10" i="4"/>
  <c r="G10" i="4"/>
  <c r="K9" i="4"/>
  <c r="I9" i="4"/>
  <c r="G9" i="4"/>
  <c r="K8" i="4"/>
  <c r="I8" i="4"/>
  <c r="K7" i="4"/>
  <c r="I7" i="4"/>
  <c r="G7" i="4"/>
  <c r="M7" i="4" s="1"/>
  <c r="K6" i="4"/>
  <c r="I6" i="4"/>
  <c r="G6" i="4"/>
  <c r="K5" i="4"/>
  <c r="I5" i="4"/>
  <c r="G5" i="4"/>
  <c r="K4" i="4"/>
  <c r="I4" i="4"/>
  <c r="K3" i="4"/>
  <c r="I3" i="4"/>
  <c r="G3" i="4"/>
  <c r="K2" i="4"/>
  <c r="I2" i="4"/>
  <c r="P53" i="8" l="1"/>
  <c r="J53" i="8"/>
  <c r="M21" i="4"/>
  <c r="L21" i="4"/>
  <c r="L23" i="4"/>
  <c r="L12" i="4"/>
  <c r="M20" i="4"/>
  <c r="M13" i="4"/>
  <c r="L13" i="4"/>
  <c r="L10" i="4"/>
  <c r="M3" i="4"/>
  <c r="M14" i="4"/>
  <c r="L6" i="4"/>
  <c r="M6" i="4"/>
  <c r="M5" i="4"/>
  <c r="M104" i="8"/>
  <c r="P104" i="8"/>
  <c r="M103" i="8"/>
  <c r="P103" i="8"/>
  <c r="M102" i="8"/>
  <c r="P102" i="8"/>
  <c r="M101" i="8"/>
  <c r="P101" i="8"/>
  <c r="M100" i="8"/>
  <c r="P100" i="8"/>
  <c r="M99" i="8"/>
  <c r="P99" i="8"/>
  <c r="M98" i="8"/>
  <c r="P98" i="8"/>
  <c r="M97" i="8"/>
  <c r="P97" i="8"/>
  <c r="M96" i="8"/>
  <c r="P96" i="8"/>
  <c r="M95" i="8"/>
  <c r="P95" i="8"/>
  <c r="M94" i="8"/>
  <c r="P94" i="8"/>
  <c r="M93" i="8"/>
  <c r="P93" i="8"/>
  <c r="M92" i="8"/>
  <c r="P92" i="8"/>
  <c r="M91" i="8"/>
  <c r="P91" i="8"/>
  <c r="M90" i="8"/>
  <c r="P90" i="8"/>
  <c r="M89" i="8"/>
  <c r="P89" i="8"/>
  <c r="M88" i="8"/>
  <c r="P88" i="8"/>
  <c r="M87" i="8"/>
  <c r="P87" i="8"/>
  <c r="M86" i="8"/>
  <c r="P86" i="8"/>
  <c r="M85" i="8"/>
  <c r="P85" i="8"/>
  <c r="M84" i="8"/>
  <c r="P84" i="8"/>
  <c r="M83" i="8"/>
  <c r="P83" i="8"/>
  <c r="M81" i="8"/>
  <c r="P81" i="8"/>
  <c r="M80" i="8"/>
  <c r="P80" i="8"/>
  <c r="M79" i="8"/>
  <c r="P79" i="8"/>
  <c r="M78" i="8"/>
  <c r="P78" i="8"/>
  <c r="M77" i="8"/>
  <c r="P77" i="8"/>
  <c r="J2" i="8"/>
  <c r="S2" i="8"/>
  <c r="P4" i="8"/>
  <c r="S4" i="8"/>
  <c r="S9" i="8"/>
  <c r="J9" i="8"/>
  <c r="S11" i="8"/>
  <c r="P11" i="8"/>
  <c r="S18" i="8"/>
  <c r="M18" i="8"/>
  <c r="P23" i="8"/>
  <c r="S23" i="8"/>
  <c r="S24" i="8"/>
  <c r="J24" i="8"/>
  <c r="P25" i="8"/>
  <c r="S25" i="8"/>
  <c r="S31" i="8"/>
  <c r="J31" i="8"/>
  <c r="M34" i="8"/>
  <c r="S34" i="8"/>
  <c r="S39" i="8"/>
  <c r="P39" i="8"/>
  <c r="S41" i="8"/>
  <c r="P41" i="8"/>
  <c r="J40" i="8"/>
  <c r="M82" i="8"/>
  <c r="J82" i="8"/>
  <c r="J65" i="8"/>
  <c r="M65" i="8"/>
  <c r="J64" i="8"/>
  <c r="M64" i="8"/>
  <c r="J63" i="8"/>
  <c r="M63" i="8"/>
  <c r="J62" i="8"/>
  <c r="M62" i="8"/>
  <c r="J61" i="8"/>
  <c r="M61" i="8"/>
  <c r="J60" i="8"/>
  <c r="M60" i="8"/>
  <c r="J59" i="8"/>
  <c r="M59" i="8"/>
  <c r="J58" i="8"/>
  <c r="M58" i="8"/>
  <c r="J57" i="8"/>
  <c r="M57" i="8"/>
  <c r="J56" i="8"/>
  <c r="M56" i="8"/>
  <c r="J55" i="8"/>
  <c r="M55" i="8"/>
  <c r="J54" i="8"/>
  <c r="M54" i="8"/>
  <c r="M53" i="8"/>
  <c r="M52" i="8"/>
  <c r="J52" i="8"/>
  <c r="J104" i="8"/>
  <c r="J103" i="8"/>
  <c r="P78" i="10"/>
  <c r="M63" i="10"/>
  <c r="P52" i="10"/>
  <c r="M52" i="10"/>
  <c r="M51" i="10"/>
  <c r="P51" i="10"/>
  <c r="M50" i="10"/>
  <c r="P50" i="10"/>
  <c r="M49" i="10"/>
  <c r="P49" i="10"/>
  <c r="M27" i="10"/>
  <c r="J27" i="10"/>
  <c r="M26" i="10"/>
  <c r="J26" i="10"/>
  <c r="J4" i="10"/>
  <c r="M4" i="10"/>
  <c r="J14" i="10"/>
  <c r="M14" i="10"/>
  <c r="M13" i="10"/>
  <c r="J13" i="10"/>
  <c r="M24" i="10"/>
  <c r="J24" i="10"/>
  <c r="P22" i="10"/>
  <c r="J22" i="10"/>
  <c r="M16" i="10"/>
  <c r="J16" i="10"/>
  <c r="M32" i="10"/>
  <c r="J32" i="10"/>
  <c r="M48" i="10"/>
  <c r="P48" i="10"/>
  <c r="J2" i="10"/>
  <c r="J10" i="10"/>
  <c r="J9" i="10"/>
  <c r="J3" i="10"/>
  <c r="J68" i="10"/>
  <c r="J63" i="10"/>
  <c r="J62" i="10"/>
  <c r="J61" i="10"/>
  <c r="J60" i="10"/>
  <c r="J55" i="10"/>
  <c r="J53" i="10"/>
  <c r="J52" i="10"/>
  <c r="J51" i="10"/>
  <c r="J38" i="10"/>
  <c r="J37" i="10"/>
  <c r="J36" i="10"/>
  <c r="J30" i="10"/>
  <c r="J29" i="10"/>
  <c r="J28" i="10"/>
  <c r="J23" i="10"/>
  <c r="J21" i="10"/>
  <c r="J20" i="10"/>
  <c r="J19" i="10"/>
  <c r="J15" i="10"/>
  <c r="J12" i="10"/>
  <c r="J88" i="10"/>
  <c r="J80" i="10"/>
  <c r="J74" i="10"/>
  <c r="J72" i="10"/>
  <c r="J108" i="10"/>
  <c r="J101" i="10"/>
  <c r="J100" i="10"/>
  <c r="J117" i="10"/>
  <c r="J133" i="10"/>
  <c r="P32" i="10"/>
  <c r="P26" i="10"/>
  <c r="P24" i="10"/>
  <c r="P16" i="10"/>
  <c r="P10" i="10"/>
  <c r="P8" i="10"/>
  <c r="P2" i="10"/>
  <c r="J98" i="8"/>
  <c r="J97" i="8"/>
  <c r="J102" i="8"/>
  <c r="J101" i="8"/>
  <c r="J100" i="8"/>
  <c r="J99" i="8"/>
  <c r="J96" i="8"/>
  <c r="J95" i="8"/>
  <c r="J94" i="8"/>
  <c r="J93" i="8"/>
  <c r="J92" i="8"/>
  <c r="J91" i="8"/>
  <c r="J90" i="8"/>
  <c r="J89" i="8"/>
  <c r="J88" i="8"/>
  <c r="J87" i="8"/>
  <c r="J86" i="8"/>
  <c r="J85" i="8"/>
  <c r="J84" i="8"/>
  <c r="J83" i="8"/>
  <c r="J80" i="8"/>
  <c r="J79" i="8"/>
  <c r="J78" i="8"/>
  <c r="J77" i="8"/>
  <c r="J81" i="8"/>
  <c r="M76" i="8"/>
  <c r="J76" i="8"/>
  <c r="M75" i="8"/>
  <c r="J75" i="8"/>
  <c r="M74" i="8"/>
  <c r="J74" i="8"/>
  <c r="M73" i="8"/>
  <c r="J73" i="8"/>
  <c r="M72" i="8"/>
  <c r="J72" i="8"/>
  <c r="M71" i="8"/>
  <c r="J71" i="8"/>
  <c r="M70" i="8"/>
  <c r="J70" i="8"/>
  <c r="M69" i="8"/>
  <c r="J69" i="8"/>
  <c r="M68" i="8"/>
  <c r="J68" i="8"/>
  <c r="M67" i="8"/>
  <c r="J67" i="8"/>
  <c r="M66" i="8"/>
  <c r="J66" i="8"/>
  <c r="J50" i="10"/>
  <c r="J18" i="10"/>
  <c r="J6" i="10"/>
  <c r="J91" i="10"/>
  <c r="J83" i="10"/>
  <c r="J75" i="10"/>
  <c r="M7" i="10"/>
  <c r="P27" i="10"/>
  <c r="P19" i="10"/>
  <c r="P11" i="10"/>
  <c r="P3" i="10"/>
  <c r="J48" i="10"/>
  <c r="J5" i="10"/>
  <c r="J47" i="10"/>
  <c r="J39" i="10"/>
  <c r="J31" i="10"/>
  <c r="J90" i="10"/>
  <c r="P18" i="10"/>
  <c r="M22" i="10"/>
  <c r="P33" i="10"/>
  <c r="P25" i="10"/>
  <c r="P17" i="10"/>
  <c r="P9" i="10"/>
  <c r="J87" i="10"/>
  <c r="J79" i="10"/>
  <c r="J71" i="10"/>
  <c r="M11" i="10"/>
  <c r="P31" i="10"/>
  <c r="P23" i="10"/>
  <c r="P15" i="10"/>
  <c r="P7" i="10"/>
  <c r="J118" i="10"/>
  <c r="J86" i="10"/>
  <c r="J78" i="10"/>
  <c r="J70" i="10"/>
  <c r="J98" i="10"/>
  <c r="P30" i="10"/>
  <c r="P14" i="10"/>
  <c r="P6" i="10"/>
  <c r="J8" i="10"/>
  <c r="M17" i="10"/>
  <c r="P29" i="10"/>
  <c r="P21" i="10"/>
  <c r="P13" i="10"/>
  <c r="P5" i="10"/>
  <c r="P84" i="10"/>
  <c r="P76" i="10"/>
  <c r="J65" i="10"/>
  <c r="J57" i="10"/>
  <c r="J49" i="10"/>
  <c r="J41" i="10"/>
  <c r="J33" i="10"/>
  <c r="J25" i="10"/>
  <c r="J17" i="10"/>
  <c r="J116" i="10"/>
  <c r="P28" i="10"/>
  <c r="P20" i="10"/>
  <c r="P12" i="10"/>
  <c r="P4" i="10"/>
  <c r="P58" i="10"/>
  <c r="P35" i="10"/>
  <c r="P79" i="10"/>
  <c r="M86" i="10"/>
  <c r="J140" i="10"/>
  <c r="J132" i="10"/>
  <c r="J124" i="10"/>
  <c r="J143" i="10"/>
  <c r="J135" i="10"/>
  <c r="J127" i="10"/>
  <c r="J142" i="10"/>
  <c r="J134" i="10"/>
  <c r="J126" i="10"/>
  <c r="J141" i="10"/>
  <c r="J125" i="10"/>
  <c r="J120" i="10"/>
  <c r="J119" i="10"/>
  <c r="J115" i="10"/>
  <c r="J110" i="10"/>
  <c r="J102" i="10"/>
  <c r="J107" i="10"/>
  <c r="J99" i="10"/>
  <c r="J95" i="10"/>
  <c r="J94" i="10"/>
  <c r="M84" i="10"/>
  <c r="M87" i="10"/>
  <c r="M85" i="10"/>
  <c r="P59" i="10"/>
  <c r="M83" i="10"/>
  <c r="M82" i="10"/>
  <c r="M60" i="10"/>
  <c r="P77" i="10"/>
  <c r="M74" i="10"/>
  <c r="M66" i="10"/>
  <c r="M58" i="10"/>
  <c r="M55" i="10"/>
  <c r="M59" i="10"/>
  <c r="M61" i="10"/>
  <c r="P39" i="10"/>
  <c r="P36" i="10"/>
  <c r="M34" i="10"/>
  <c r="M73" i="10"/>
  <c r="M62" i="10"/>
  <c r="P60" i="10"/>
  <c r="P45" i="10"/>
  <c r="P85" i="10"/>
  <c r="M46" i="10"/>
  <c r="M76" i="10"/>
  <c r="M67" i="10"/>
  <c r="M64" i="10"/>
  <c r="P61" i="10"/>
  <c r="M43" i="10"/>
  <c r="P54" i="10"/>
  <c r="M77" i="10"/>
  <c r="P70" i="10"/>
  <c r="P55" i="10"/>
  <c r="P46" i="10"/>
  <c r="M37" i="10"/>
  <c r="P82" i="10"/>
  <c r="M88" i="10"/>
  <c r="M75" i="10"/>
  <c r="P40" i="10"/>
  <c r="M56" i="10"/>
  <c r="M35" i="10"/>
  <c r="P83" i="10"/>
  <c r="M45" i="10"/>
  <c r="P37" i="10"/>
  <c r="M36" i="10"/>
  <c r="P74" i="10"/>
  <c r="P53" i="10"/>
  <c r="P38" i="10"/>
  <c r="P87" i="10"/>
  <c r="M78" i="10"/>
  <c r="P62" i="10"/>
  <c r="M81" i="10"/>
  <c r="P71" i="10"/>
  <c r="P41" i="10"/>
  <c r="P86" i="10"/>
  <c r="P75" i="10"/>
  <c r="M72" i="10"/>
  <c r="M57" i="10"/>
  <c r="P47" i="10"/>
  <c r="M42" i="10"/>
  <c r="M44" i="10"/>
  <c r="M79" i="10"/>
  <c r="P69" i="10"/>
  <c r="P68" i="10"/>
  <c r="P63" i="10"/>
  <c r="M54" i="10"/>
  <c r="M53" i="10"/>
  <c r="M47" i="10"/>
  <c r="P44" i="10"/>
  <c r="M38" i="10"/>
  <c r="P67" i="10"/>
  <c r="P66" i="10"/>
  <c r="M70" i="10"/>
  <c r="M69" i="10"/>
  <c r="M68" i="10"/>
  <c r="M40" i="10"/>
  <c r="M80" i="10"/>
  <c r="M71" i="10"/>
  <c r="M65" i="10"/>
  <c r="M41" i="10"/>
  <c r="M39" i="10"/>
  <c r="P81" i="10"/>
  <c r="P73" i="10"/>
  <c r="P65" i="10"/>
  <c r="P57" i="10"/>
  <c r="P43" i="10"/>
  <c r="P34" i="10"/>
  <c r="P88" i="10"/>
  <c r="P80" i="10"/>
  <c r="P72" i="10"/>
  <c r="P64" i="10"/>
  <c r="P56" i="10"/>
  <c r="P42" i="10"/>
  <c r="M17" i="4"/>
  <c r="L3" i="4"/>
  <c r="M9" i="4"/>
  <c r="L15" i="4"/>
  <c r="M18" i="4"/>
  <c r="L11" i="4"/>
  <c r="L14" i="4"/>
  <c r="L20" i="4"/>
  <c r="M8" i="4"/>
  <c r="L2" i="4"/>
  <c r="L16" i="4"/>
  <c r="M19" i="4"/>
  <c r="L5" i="4"/>
  <c r="M16" i="4"/>
  <c r="M99" i="7"/>
  <c r="J97" i="7"/>
  <c r="J95" i="7"/>
  <c r="P94" i="7"/>
  <c r="M92" i="7"/>
  <c r="M91" i="7"/>
  <c r="J89" i="7"/>
  <c r="J87" i="7"/>
  <c r="P86" i="7"/>
  <c r="M84" i="7"/>
  <c r="M83" i="7"/>
  <c r="J81" i="7"/>
  <c r="J79" i="7"/>
  <c r="P78" i="7"/>
  <c r="M76" i="7"/>
  <c r="M75" i="7"/>
  <c r="J73" i="7"/>
  <c r="P70" i="7"/>
  <c r="P69" i="7"/>
  <c r="M68" i="7"/>
  <c r="M67" i="7"/>
  <c r="J65" i="7"/>
  <c r="J63" i="7"/>
  <c r="P62" i="7"/>
  <c r="M60" i="7"/>
  <c r="M59" i="7"/>
  <c r="J57" i="7"/>
  <c r="P54" i="7"/>
  <c r="P53" i="7"/>
  <c r="M51" i="7"/>
  <c r="J49" i="7"/>
  <c r="M48" i="7"/>
  <c r="M47" i="7"/>
  <c r="P46" i="7"/>
  <c r="P45" i="7"/>
  <c r="P44" i="7"/>
  <c r="M43" i="7"/>
  <c r="J41" i="7"/>
  <c r="P40" i="7"/>
  <c r="P38" i="7"/>
  <c r="P37" i="7"/>
  <c r="M35" i="7"/>
  <c r="J33" i="7"/>
  <c r="M32" i="7"/>
  <c r="J31" i="7"/>
  <c r="P30" i="7"/>
  <c r="J29" i="7"/>
  <c r="P28" i="7"/>
  <c r="M27" i="7"/>
  <c r="J25" i="7"/>
  <c r="M24" i="7"/>
  <c r="J23" i="7"/>
  <c r="P22" i="7"/>
  <c r="J21" i="7"/>
  <c r="J20" i="7"/>
  <c r="M19" i="7"/>
  <c r="J17" i="7"/>
  <c r="M16" i="7"/>
  <c r="J15" i="7"/>
  <c r="P14" i="7"/>
  <c r="J13" i="7"/>
  <c r="J12" i="7"/>
  <c r="M11" i="7"/>
  <c r="J9" i="7"/>
  <c r="M8" i="7"/>
  <c r="J7" i="7"/>
  <c r="P6" i="7"/>
  <c r="J5" i="7"/>
  <c r="J4" i="7"/>
  <c r="P18" i="9"/>
  <c r="M17" i="9"/>
  <c r="M18" i="9"/>
  <c r="J4" i="9"/>
  <c r="P15" i="9"/>
  <c r="P7" i="9"/>
  <c r="P10" i="9"/>
  <c r="P13" i="9"/>
  <c r="J19" i="9"/>
  <c r="J11" i="9"/>
  <c r="J3" i="9"/>
  <c r="J17" i="9"/>
  <c r="M12" i="9"/>
  <c r="M15" i="9"/>
  <c r="J14" i="9"/>
  <c r="J10" i="9"/>
  <c r="M10" i="9"/>
  <c r="J9" i="9"/>
  <c r="M9" i="9"/>
  <c r="J7" i="9"/>
  <c r="M7" i="9"/>
  <c r="J6" i="9"/>
  <c r="P5" i="9"/>
  <c r="M4" i="9"/>
  <c r="M3" i="9"/>
  <c r="J5" i="9"/>
  <c r="P9" i="9"/>
  <c r="M11" i="9"/>
  <c r="J13" i="9"/>
  <c r="P17" i="9"/>
  <c r="M19" i="9"/>
  <c r="P3" i="9"/>
  <c r="M5" i="9"/>
  <c r="P11" i="9"/>
  <c r="M13" i="9"/>
  <c r="J15" i="9"/>
  <c r="P19" i="9"/>
  <c r="P4" i="9"/>
  <c r="M6" i="9"/>
  <c r="J8" i="9"/>
  <c r="P12" i="9"/>
  <c r="M14" i="9"/>
  <c r="J16" i="9"/>
  <c r="P6" i="9"/>
  <c r="M8" i="9"/>
  <c r="P14" i="9"/>
  <c r="M16" i="9"/>
  <c r="J18" i="9"/>
  <c r="P42" i="8"/>
  <c r="P29" i="8"/>
  <c r="M39" i="8"/>
  <c r="M35" i="8"/>
  <c r="M15" i="8"/>
  <c r="M8" i="8"/>
  <c r="J16" i="8"/>
  <c r="J32" i="8"/>
  <c r="J36" i="8"/>
  <c r="J13" i="8"/>
  <c r="J49" i="8"/>
  <c r="J6" i="8"/>
  <c r="P10" i="8"/>
  <c r="P12" i="8"/>
  <c r="P14" i="8"/>
  <c r="J27" i="8"/>
  <c r="P31" i="8"/>
  <c r="J33" i="8"/>
  <c r="P37" i="8"/>
  <c r="J29" i="8"/>
  <c r="M43" i="8"/>
  <c r="P45" i="8"/>
  <c r="P47" i="8"/>
  <c r="M51" i="8"/>
  <c r="J20" i="8"/>
  <c r="P3" i="8"/>
  <c r="J5" i="8"/>
  <c r="P26" i="8"/>
  <c r="P40" i="8"/>
  <c r="J11" i="8"/>
  <c r="J17" i="8"/>
  <c r="J44" i="8"/>
  <c r="M50" i="8"/>
  <c r="M13" i="8"/>
  <c r="J25" i="8"/>
  <c r="J15" i="8"/>
  <c r="P13" i="8"/>
  <c r="M19" i="8"/>
  <c r="P21" i="8"/>
  <c r="J28" i="8"/>
  <c r="M33" i="8"/>
  <c r="P36" i="8"/>
  <c r="J43" i="8"/>
  <c r="J12" i="8"/>
  <c r="J3" i="8"/>
  <c r="M7" i="8"/>
  <c r="P9" i="8"/>
  <c r="P33" i="8"/>
  <c r="P15" i="8"/>
  <c r="M11" i="8"/>
  <c r="J14" i="8"/>
  <c r="M21" i="8"/>
  <c r="M27" i="8"/>
  <c r="J39" i="8"/>
  <c r="M47" i="8"/>
  <c r="J47" i="8"/>
  <c r="P2" i="8"/>
  <c r="M49" i="8"/>
  <c r="M17" i="8"/>
  <c r="J35" i="8"/>
  <c r="P6" i="8"/>
  <c r="P24" i="8"/>
  <c r="M38" i="8"/>
  <c r="J41" i="8"/>
  <c r="J48" i="8"/>
  <c r="M37" i="8"/>
  <c r="J45" i="8"/>
  <c r="P49" i="8"/>
  <c r="J51" i="8"/>
  <c r="M42" i="8"/>
  <c r="J50" i="8"/>
  <c r="M41" i="8"/>
  <c r="P44" i="8"/>
  <c r="P50" i="8"/>
  <c r="M32" i="8"/>
  <c r="P32" i="8"/>
  <c r="M23" i="8"/>
  <c r="M26" i="8"/>
  <c r="M31" i="8"/>
  <c r="M25" i="8"/>
  <c r="P28" i="8"/>
  <c r="J23" i="8"/>
  <c r="P20" i="8"/>
  <c r="M14" i="8"/>
  <c r="P17" i="8"/>
  <c r="J19" i="8"/>
  <c r="P8" i="8"/>
  <c r="M6" i="8"/>
  <c r="J8" i="8"/>
  <c r="M5" i="8"/>
  <c r="P5" i="8"/>
  <c r="J4" i="8"/>
  <c r="M2" i="8"/>
  <c r="P7" i="8"/>
  <c r="M4" i="8"/>
  <c r="J10" i="8"/>
  <c r="M12" i="8"/>
  <c r="P16" i="8"/>
  <c r="P48" i="8"/>
  <c r="M22" i="8"/>
  <c r="J22" i="8"/>
  <c r="P22" i="8"/>
  <c r="P27" i="8"/>
  <c r="P43" i="8"/>
  <c r="M10" i="8"/>
  <c r="M3" i="8"/>
  <c r="J7" i="8"/>
  <c r="M9" i="8"/>
  <c r="P18" i="8"/>
  <c r="M29" i="8"/>
  <c r="P34" i="8"/>
  <c r="M45" i="8"/>
  <c r="P19" i="8"/>
  <c r="J21" i="8"/>
  <c r="M30" i="8"/>
  <c r="J30" i="8"/>
  <c r="P30" i="8"/>
  <c r="P35" i="8"/>
  <c r="J37" i="8"/>
  <c r="M46" i="8"/>
  <c r="P51" i="8"/>
  <c r="J18" i="8"/>
  <c r="M20" i="8"/>
  <c r="J26" i="8"/>
  <c r="M28" i="8"/>
  <c r="J34" i="8"/>
  <c r="M36" i="8"/>
  <c r="P38" i="8"/>
  <c r="J42" i="8"/>
  <c r="M44" i="8"/>
  <c r="P46" i="8"/>
  <c r="M16" i="8"/>
  <c r="M24" i="8"/>
  <c r="J38" i="8"/>
  <c r="M40" i="8"/>
  <c r="J46" i="8"/>
  <c r="M48" i="8"/>
  <c r="J11" i="6"/>
  <c r="J34" i="6"/>
  <c r="J35" i="6"/>
  <c r="J12" i="6"/>
  <c r="J16" i="6"/>
  <c r="J18" i="6"/>
  <c r="J15" i="6"/>
  <c r="J27" i="6"/>
  <c r="J7" i="6"/>
  <c r="J21" i="6"/>
  <c r="J28" i="6"/>
  <c r="J36" i="6"/>
  <c r="J8" i="6"/>
  <c r="J24" i="6"/>
  <c r="J37" i="6"/>
  <c r="J51" i="7"/>
  <c r="J48" i="7"/>
  <c r="P48" i="7"/>
  <c r="P47" i="7"/>
  <c r="M45" i="7"/>
  <c r="J44" i="7"/>
  <c r="P32" i="7"/>
  <c r="J32" i="7"/>
  <c r="J35" i="7"/>
  <c r="M37" i="7"/>
  <c r="J37" i="7"/>
  <c r="M40" i="7"/>
  <c r="J40" i="7"/>
  <c r="J43" i="7"/>
  <c r="M30" i="7"/>
  <c r="P29" i="7"/>
  <c r="M29" i="7"/>
  <c r="J28" i="7"/>
  <c r="M28" i="7"/>
  <c r="P23" i="7"/>
  <c r="M23" i="7"/>
  <c r="P24" i="7"/>
  <c r="J24" i="7"/>
  <c r="J27" i="7"/>
  <c r="M12" i="7"/>
  <c r="P8" i="7"/>
  <c r="M5" i="7"/>
  <c r="P16" i="7"/>
  <c r="P13" i="7"/>
  <c r="P21" i="7"/>
  <c r="M13" i="7"/>
  <c r="M21" i="7"/>
  <c r="J8" i="7"/>
  <c r="M6" i="7"/>
  <c r="P4" i="7"/>
  <c r="J16" i="7"/>
  <c r="M4" i="7"/>
  <c r="P3" i="7"/>
  <c r="J3" i="7"/>
  <c r="J32" i="6"/>
  <c r="J31" i="6"/>
  <c r="J10" i="7"/>
  <c r="M10" i="7"/>
  <c r="P10" i="7"/>
  <c r="J18" i="7"/>
  <c r="M18" i="7"/>
  <c r="P18" i="7"/>
  <c r="J26" i="7"/>
  <c r="M26" i="7"/>
  <c r="P26" i="7"/>
  <c r="J98" i="7"/>
  <c r="M98" i="7"/>
  <c r="P98" i="7"/>
  <c r="J34" i="7"/>
  <c r="M34" i="7"/>
  <c r="P34" i="7"/>
  <c r="J90" i="7"/>
  <c r="M90" i="7"/>
  <c r="P90" i="7"/>
  <c r="J42" i="7"/>
  <c r="M42" i="7"/>
  <c r="P42" i="7"/>
  <c r="J82" i="7"/>
  <c r="M82" i="7"/>
  <c r="P82" i="7"/>
  <c r="J74" i="7"/>
  <c r="M74" i="7"/>
  <c r="P74" i="7"/>
  <c r="J66" i="7"/>
  <c r="M66" i="7"/>
  <c r="P66" i="7"/>
  <c r="J58" i="7"/>
  <c r="M58" i="7"/>
  <c r="P58" i="7"/>
  <c r="J50" i="7"/>
  <c r="M50" i="7"/>
  <c r="P50" i="7"/>
  <c r="J2" i="7"/>
  <c r="M2" i="7"/>
  <c r="P2" i="7"/>
  <c r="P97" i="7"/>
  <c r="P89" i="7"/>
  <c r="P81" i="7"/>
  <c r="P73" i="7"/>
  <c r="P65" i="7"/>
  <c r="P57" i="7"/>
  <c r="P49" i="7"/>
  <c r="P41" i="7"/>
  <c r="P33" i="7"/>
  <c r="P25" i="7"/>
  <c r="P17" i="7"/>
  <c r="P9" i="7"/>
  <c r="M7" i="7"/>
  <c r="J94" i="7"/>
  <c r="J86" i="7"/>
  <c r="J78" i="7"/>
  <c r="J70" i="7"/>
  <c r="J62" i="7"/>
  <c r="J54" i="7"/>
  <c r="J46" i="7"/>
  <c r="J38" i="7"/>
  <c r="J30" i="7"/>
  <c r="J22" i="7"/>
  <c r="J14" i="7"/>
  <c r="J6" i="7"/>
  <c r="P99" i="7"/>
  <c r="M97" i="7"/>
  <c r="P91" i="7"/>
  <c r="M89" i="7"/>
  <c r="P83" i="7"/>
  <c r="M81" i="7"/>
  <c r="P75" i="7"/>
  <c r="M73" i="7"/>
  <c r="P67" i="7"/>
  <c r="M65" i="7"/>
  <c r="P59" i="7"/>
  <c r="M57" i="7"/>
  <c r="P51" i="7"/>
  <c r="M49" i="7"/>
  <c r="P43" i="7"/>
  <c r="M41" i="7"/>
  <c r="P35" i="7"/>
  <c r="M33" i="7"/>
  <c r="P27" i="7"/>
  <c r="M25" i="7"/>
  <c r="P19" i="7"/>
  <c r="M17" i="7"/>
  <c r="P11" i="7"/>
  <c r="M9" i="7"/>
  <c r="J29" i="6"/>
  <c r="J13" i="6"/>
  <c r="J5" i="6"/>
  <c r="J10" i="6"/>
  <c r="J20" i="6"/>
  <c r="J4" i="6"/>
  <c r="J2" i="6"/>
  <c r="J22" i="6"/>
  <c r="J6" i="6"/>
  <c r="J14" i="6"/>
  <c r="J25" i="6"/>
  <c r="J30" i="6"/>
  <c r="J3" i="6"/>
  <c r="J9" i="6"/>
  <c r="J19" i="6"/>
  <c r="J38" i="6"/>
  <c r="J33" i="6"/>
  <c r="J23" i="6"/>
  <c r="J26" i="6"/>
  <c r="J17" i="6"/>
  <c r="M4" i="4"/>
  <c r="L4" i="4"/>
  <c r="M7" i="5"/>
  <c r="L20" i="5"/>
  <c r="M29" i="5"/>
  <c r="L52" i="5"/>
  <c r="L54" i="5"/>
  <c r="M59" i="5"/>
  <c r="L23" i="5"/>
  <c r="L33" i="5"/>
  <c r="L55" i="5"/>
  <c r="L65" i="5"/>
  <c r="L12" i="5"/>
  <c r="M31" i="5"/>
  <c r="L44" i="5"/>
  <c r="M2" i="5"/>
  <c r="L25" i="5"/>
  <c r="M30" i="5"/>
  <c r="M32" i="5"/>
  <c r="M34" i="5"/>
  <c r="L57" i="5"/>
  <c r="M62" i="5"/>
  <c r="M64" i="5"/>
  <c r="M66" i="5"/>
  <c r="L14" i="5"/>
  <c r="L46" i="5"/>
  <c r="M63" i="5"/>
  <c r="L6" i="5"/>
  <c r="M11" i="5"/>
  <c r="M13" i="5"/>
  <c r="M23" i="5"/>
  <c r="L38" i="5"/>
  <c r="M43" i="5"/>
  <c r="M45" i="5"/>
  <c r="M55" i="5"/>
  <c r="L66" i="5"/>
  <c r="L70" i="5"/>
  <c r="L5" i="5"/>
  <c r="L22" i="5"/>
  <c r="M27" i="5"/>
  <c r="M39" i="5"/>
  <c r="M61" i="5"/>
  <c r="M71" i="5"/>
  <c r="L3" i="5"/>
  <c r="L11" i="5"/>
  <c r="L19" i="5"/>
  <c r="L27" i="5"/>
  <c r="L35" i="5"/>
  <c r="L43" i="5"/>
  <c r="L51" i="5"/>
  <c r="L59" i="5"/>
  <c r="L67" i="5"/>
  <c r="L8" i="5"/>
  <c r="L16" i="5"/>
  <c r="L24" i="5"/>
  <c r="L32" i="5"/>
  <c r="L40" i="5"/>
  <c r="L48" i="5"/>
  <c r="L56" i="5"/>
  <c r="L64" i="5"/>
  <c r="L13" i="5"/>
  <c r="L21" i="5"/>
  <c r="L29" i="5"/>
  <c r="L37" i="5"/>
  <c r="L45" i="5"/>
  <c r="L53" i="5"/>
  <c r="L61" i="5"/>
  <c r="L69" i="5"/>
  <c r="L2" i="5"/>
  <c r="M5" i="5"/>
  <c r="L10" i="5"/>
  <c r="L18" i="5"/>
  <c r="L26" i="5"/>
  <c r="L34" i="5"/>
  <c r="L42" i="5"/>
  <c r="L50" i="5"/>
  <c r="L58" i="5"/>
  <c r="L8" i="4"/>
  <c r="M2" i="4"/>
  <c r="L7" i="4"/>
  <c r="M10" i="4"/>
  <c r="L19" i="4"/>
  <c r="L25" i="4"/>
  <c r="L9" i="4"/>
  <c r="L22" i="4"/>
  <c r="L18" i="4"/>
  <c r="L24" i="4"/>
  <c r="L26" i="4"/>
  <c r="O385" i="1" l="1"/>
  <c r="L385" i="1"/>
  <c r="I385" i="1"/>
  <c r="G385" i="1"/>
  <c r="O384" i="1"/>
  <c r="L384" i="1"/>
  <c r="I384" i="1"/>
  <c r="G384" i="1"/>
  <c r="O383" i="1"/>
  <c r="L383" i="1"/>
  <c r="I383" i="1"/>
  <c r="G383" i="1"/>
  <c r="O382" i="1"/>
  <c r="L382" i="1"/>
  <c r="I382" i="1"/>
  <c r="G382" i="1"/>
  <c r="J382" i="1" s="1"/>
  <c r="O381" i="1"/>
  <c r="L381" i="1"/>
  <c r="I381" i="1"/>
  <c r="G381" i="1"/>
  <c r="M381" i="1" s="1"/>
  <c r="O380" i="1"/>
  <c r="L380" i="1"/>
  <c r="I380" i="1"/>
  <c r="G380" i="1"/>
  <c r="O379" i="1"/>
  <c r="L379" i="1"/>
  <c r="I379" i="1"/>
  <c r="G379" i="1"/>
  <c r="J379" i="1" s="1"/>
  <c r="O378" i="1"/>
  <c r="L378" i="1"/>
  <c r="I378" i="1"/>
  <c r="G378" i="1"/>
  <c r="O377" i="1"/>
  <c r="I377" i="1"/>
  <c r="G377" i="1"/>
  <c r="J377" i="1" s="1"/>
  <c r="O376" i="1"/>
  <c r="L376" i="1"/>
  <c r="I376" i="1"/>
  <c r="G376" i="1"/>
  <c r="O375" i="1"/>
  <c r="L375" i="1"/>
  <c r="I375" i="1"/>
  <c r="G375" i="1"/>
  <c r="O374" i="1"/>
  <c r="L374" i="1"/>
  <c r="I374" i="1"/>
  <c r="G374" i="1"/>
  <c r="J374" i="1" s="1"/>
  <c r="O373" i="1"/>
  <c r="L373" i="1"/>
  <c r="I373" i="1"/>
  <c r="G373" i="1"/>
  <c r="O372" i="1"/>
  <c r="L372" i="1"/>
  <c r="I372" i="1"/>
  <c r="G372" i="1"/>
  <c r="O371" i="1"/>
  <c r="L371" i="1"/>
  <c r="I371" i="1"/>
  <c r="G371" i="1"/>
  <c r="J371" i="1" s="1"/>
  <c r="O370" i="1"/>
  <c r="L370" i="1"/>
  <c r="I370" i="1"/>
  <c r="G370" i="1"/>
  <c r="O369" i="1"/>
  <c r="L369" i="1"/>
  <c r="I369" i="1"/>
  <c r="G369" i="1"/>
  <c r="J369" i="1" s="1"/>
  <c r="O368" i="1"/>
  <c r="L368" i="1"/>
  <c r="I368" i="1"/>
  <c r="G368" i="1"/>
  <c r="O367" i="1"/>
  <c r="L367" i="1"/>
  <c r="I367" i="1"/>
  <c r="G367" i="1"/>
  <c r="O366" i="1"/>
  <c r="L366" i="1"/>
  <c r="I366" i="1"/>
  <c r="G366" i="1"/>
  <c r="J366" i="1" s="1"/>
  <c r="O365" i="1"/>
  <c r="L365" i="1"/>
  <c r="I365" i="1"/>
  <c r="G365" i="1"/>
  <c r="M365" i="1" s="1"/>
  <c r="O364" i="1"/>
  <c r="L364" i="1"/>
  <c r="I364" i="1"/>
  <c r="G364" i="1"/>
  <c r="O363" i="1"/>
  <c r="L363" i="1"/>
  <c r="I363" i="1"/>
  <c r="G363" i="1"/>
  <c r="O362" i="1"/>
  <c r="L362" i="1"/>
  <c r="I362" i="1"/>
  <c r="G362" i="1"/>
  <c r="O361" i="1"/>
  <c r="L361" i="1"/>
  <c r="I361" i="1"/>
  <c r="G361" i="1"/>
  <c r="O360" i="1"/>
  <c r="L360" i="1"/>
  <c r="I360" i="1"/>
  <c r="G360" i="1"/>
  <c r="O359" i="1"/>
  <c r="L359" i="1"/>
  <c r="I359" i="1"/>
  <c r="G359" i="1"/>
  <c r="O358" i="1"/>
  <c r="L358" i="1"/>
  <c r="I358" i="1"/>
  <c r="G358" i="1"/>
  <c r="J358" i="1" s="1"/>
  <c r="O357" i="1"/>
  <c r="L357" i="1"/>
  <c r="I357" i="1"/>
  <c r="G357" i="1"/>
  <c r="M357" i="1" s="1"/>
  <c r="O356" i="1"/>
  <c r="L356" i="1"/>
  <c r="I356" i="1"/>
  <c r="G356" i="1"/>
  <c r="O355" i="1"/>
  <c r="L355" i="1"/>
  <c r="I355" i="1"/>
  <c r="G355" i="1"/>
  <c r="O354" i="1"/>
  <c r="L354" i="1"/>
  <c r="I354" i="1"/>
  <c r="G354" i="1"/>
  <c r="O353" i="1"/>
  <c r="L353" i="1"/>
  <c r="I353" i="1"/>
  <c r="G353" i="1"/>
  <c r="O352" i="1"/>
  <c r="L352" i="1"/>
  <c r="I352" i="1"/>
  <c r="G352" i="1"/>
  <c r="O351" i="1"/>
  <c r="L351" i="1"/>
  <c r="I351" i="1"/>
  <c r="G351" i="1"/>
  <c r="O350" i="1"/>
  <c r="L350" i="1"/>
  <c r="I350" i="1"/>
  <c r="G350" i="1"/>
  <c r="J350" i="1" s="1"/>
  <c r="O349" i="1"/>
  <c r="L349" i="1"/>
  <c r="I349" i="1"/>
  <c r="G349" i="1"/>
  <c r="M349" i="1" s="1"/>
  <c r="O348" i="1"/>
  <c r="L348" i="1"/>
  <c r="I348" i="1"/>
  <c r="G348" i="1"/>
  <c r="O347" i="1"/>
  <c r="L347" i="1"/>
  <c r="I347" i="1"/>
  <c r="G347" i="1"/>
  <c r="J347" i="1" s="1"/>
  <c r="O346" i="1"/>
  <c r="L346" i="1"/>
  <c r="I346" i="1"/>
  <c r="G346" i="1"/>
  <c r="O345" i="1"/>
  <c r="L345" i="1"/>
  <c r="I345" i="1"/>
  <c r="G345" i="1"/>
  <c r="J345" i="1" s="1"/>
  <c r="O344" i="1"/>
  <c r="L344" i="1"/>
  <c r="I344" i="1"/>
  <c r="G344" i="1"/>
  <c r="O343" i="1"/>
  <c r="L343" i="1"/>
  <c r="I343" i="1"/>
  <c r="G343" i="1"/>
  <c r="O342" i="1"/>
  <c r="L342" i="1"/>
  <c r="I342" i="1"/>
  <c r="G342" i="1"/>
  <c r="J342" i="1" s="1"/>
  <c r="O341" i="1"/>
  <c r="L341" i="1"/>
  <c r="I341" i="1"/>
  <c r="G341" i="1"/>
  <c r="O340" i="1"/>
  <c r="L340" i="1"/>
  <c r="I340" i="1"/>
  <c r="G340" i="1"/>
  <c r="O339" i="1"/>
  <c r="L339" i="1"/>
  <c r="I339" i="1"/>
  <c r="G339" i="1"/>
  <c r="J339" i="1" s="1"/>
  <c r="O338" i="1"/>
  <c r="L338" i="1"/>
  <c r="I338" i="1"/>
  <c r="G338" i="1"/>
  <c r="O337" i="1"/>
  <c r="L337" i="1"/>
  <c r="I337" i="1"/>
  <c r="G337" i="1"/>
  <c r="J337" i="1" s="1"/>
  <c r="O336" i="1"/>
  <c r="L336" i="1"/>
  <c r="I336" i="1"/>
  <c r="G336" i="1"/>
  <c r="O335" i="1"/>
  <c r="L335" i="1"/>
  <c r="I335" i="1"/>
  <c r="G335" i="1"/>
  <c r="O334" i="1"/>
  <c r="L334" i="1"/>
  <c r="I334" i="1"/>
  <c r="G334" i="1"/>
  <c r="J334" i="1" s="1"/>
  <c r="O333" i="1"/>
  <c r="L333" i="1"/>
  <c r="I333" i="1"/>
  <c r="G333" i="1"/>
  <c r="M333" i="1" s="1"/>
  <c r="O332" i="1"/>
  <c r="L332" i="1"/>
  <c r="I332" i="1"/>
  <c r="G332" i="1"/>
  <c r="O331" i="1"/>
  <c r="L331" i="1"/>
  <c r="I331" i="1"/>
  <c r="G331" i="1"/>
  <c r="O330" i="1"/>
  <c r="L330" i="1"/>
  <c r="I330" i="1"/>
  <c r="G330" i="1"/>
  <c r="O329" i="1"/>
  <c r="L329" i="1"/>
  <c r="I329" i="1"/>
  <c r="G329" i="1"/>
  <c r="O328" i="1"/>
  <c r="L328" i="1"/>
  <c r="I328" i="1"/>
  <c r="G328" i="1"/>
  <c r="J328" i="1" s="1"/>
  <c r="O327" i="1"/>
  <c r="L327" i="1"/>
  <c r="I327" i="1"/>
  <c r="G327" i="1"/>
  <c r="O326" i="1"/>
  <c r="L326" i="1"/>
  <c r="I326" i="1"/>
  <c r="G326" i="1"/>
  <c r="O325" i="1"/>
  <c r="L325" i="1"/>
  <c r="I325" i="1"/>
  <c r="G325" i="1"/>
  <c r="M325" i="1" s="1"/>
  <c r="O324" i="1"/>
  <c r="L324" i="1"/>
  <c r="I324" i="1"/>
  <c r="G324" i="1"/>
  <c r="O323" i="1"/>
  <c r="L323" i="1"/>
  <c r="I323" i="1"/>
  <c r="G323" i="1"/>
  <c r="O322" i="1"/>
  <c r="L322" i="1"/>
  <c r="I322" i="1"/>
  <c r="G322" i="1"/>
  <c r="O321" i="1"/>
  <c r="L321" i="1"/>
  <c r="I321" i="1"/>
  <c r="G321" i="1"/>
  <c r="O320" i="1"/>
  <c r="L320" i="1"/>
  <c r="I320" i="1"/>
  <c r="G320" i="1"/>
  <c r="J320" i="1" s="1"/>
  <c r="O319" i="1"/>
  <c r="L319" i="1"/>
  <c r="I319" i="1"/>
  <c r="G319" i="1"/>
  <c r="O318" i="1"/>
  <c r="L318" i="1"/>
  <c r="I318" i="1"/>
  <c r="G318" i="1"/>
  <c r="O317" i="1"/>
  <c r="L317" i="1"/>
  <c r="I317" i="1"/>
  <c r="G317" i="1"/>
  <c r="O316" i="1"/>
  <c r="L316" i="1"/>
  <c r="I316" i="1"/>
  <c r="G316" i="1"/>
  <c r="O315" i="1"/>
  <c r="L315" i="1"/>
  <c r="I315" i="1"/>
  <c r="G315" i="1"/>
  <c r="J315" i="1" s="1"/>
  <c r="O314" i="1"/>
  <c r="L314" i="1"/>
  <c r="I314" i="1"/>
  <c r="G314" i="1"/>
  <c r="O313" i="1"/>
  <c r="L313" i="1"/>
  <c r="I313" i="1"/>
  <c r="G313" i="1"/>
  <c r="J313" i="1" s="1"/>
  <c r="O312" i="1"/>
  <c r="L312" i="1"/>
  <c r="I312" i="1"/>
  <c r="G312" i="1"/>
  <c r="J312" i="1" s="1"/>
  <c r="O311" i="1"/>
  <c r="L311" i="1"/>
  <c r="I311" i="1"/>
  <c r="G311" i="1"/>
  <c r="O310" i="1"/>
  <c r="L310" i="1"/>
  <c r="I310" i="1"/>
  <c r="G310" i="1"/>
  <c r="O309" i="1"/>
  <c r="L309" i="1"/>
  <c r="I309" i="1"/>
  <c r="G309" i="1"/>
  <c r="O308" i="1"/>
  <c r="L308" i="1"/>
  <c r="I308" i="1"/>
  <c r="G308" i="1"/>
  <c r="P308" i="1" s="1"/>
  <c r="O307" i="1"/>
  <c r="L307" i="1"/>
  <c r="I307" i="1"/>
  <c r="G307" i="1"/>
  <c r="O306" i="1"/>
  <c r="L306" i="1"/>
  <c r="I306" i="1"/>
  <c r="G306" i="1"/>
  <c r="O305" i="1"/>
  <c r="L305" i="1"/>
  <c r="I305" i="1"/>
  <c r="G305" i="1"/>
  <c r="O304" i="1"/>
  <c r="L304" i="1"/>
  <c r="I304" i="1"/>
  <c r="G304" i="1"/>
  <c r="O303" i="1"/>
  <c r="L303" i="1"/>
  <c r="I303" i="1"/>
  <c r="G303" i="1"/>
  <c r="P303" i="1" s="1"/>
  <c r="O302" i="1"/>
  <c r="L302" i="1"/>
  <c r="I302" i="1"/>
  <c r="G302" i="1"/>
  <c r="J302" i="1" s="1"/>
  <c r="O301" i="1"/>
  <c r="L301" i="1"/>
  <c r="I301" i="1"/>
  <c r="G301" i="1"/>
  <c r="O300" i="1"/>
  <c r="L300" i="1"/>
  <c r="I300" i="1"/>
  <c r="G300" i="1"/>
  <c r="O299" i="1"/>
  <c r="L299" i="1"/>
  <c r="I299" i="1"/>
  <c r="G299" i="1"/>
  <c r="M299" i="1" s="1"/>
  <c r="O298" i="1"/>
  <c r="L298" i="1"/>
  <c r="I298" i="1"/>
  <c r="G298" i="1"/>
  <c r="O297" i="1"/>
  <c r="L297" i="1"/>
  <c r="I297" i="1"/>
  <c r="G297" i="1"/>
  <c r="O296" i="1"/>
  <c r="L296" i="1"/>
  <c r="I296" i="1"/>
  <c r="G296" i="1"/>
  <c r="J296" i="1" s="1"/>
  <c r="O295" i="1"/>
  <c r="L295" i="1"/>
  <c r="I295" i="1"/>
  <c r="G295" i="1"/>
  <c r="O294" i="1"/>
  <c r="L294" i="1"/>
  <c r="I294" i="1"/>
  <c r="G294" i="1"/>
  <c r="O293" i="1"/>
  <c r="L293" i="1"/>
  <c r="I293" i="1"/>
  <c r="G293" i="1"/>
  <c r="O292" i="1"/>
  <c r="L292" i="1"/>
  <c r="I292" i="1"/>
  <c r="G292" i="1"/>
  <c r="O291" i="1"/>
  <c r="L291" i="1"/>
  <c r="I291" i="1"/>
  <c r="G291" i="1"/>
  <c r="O290" i="1"/>
  <c r="L290" i="1"/>
  <c r="I290" i="1"/>
  <c r="G290" i="1"/>
  <c r="O289" i="1"/>
  <c r="L289" i="1"/>
  <c r="I289" i="1"/>
  <c r="G289" i="1"/>
  <c r="O288" i="1"/>
  <c r="L288" i="1"/>
  <c r="I288" i="1"/>
  <c r="G288" i="1"/>
  <c r="O287" i="1"/>
  <c r="L287" i="1"/>
  <c r="I287" i="1"/>
  <c r="G287" i="1"/>
  <c r="O286" i="1"/>
  <c r="L286" i="1"/>
  <c r="I286" i="1"/>
  <c r="G286" i="1"/>
  <c r="O285" i="1"/>
  <c r="L285" i="1"/>
  <c r="I285" i="1"/>
  <c r="G285" i="1"/>
  <c r="P285" i="1" s="1"/>
  <c r="O284" i="1"/>
  <c r="L284" i="1"/>
  <c r="I284" i="1"/>
  <c r="G284" i="1"/>
  <c r="M284" i="1" s="1"/>
  <c r="O283" i="1"/>
  <c r="L283" i="1"/>
  <c r="I283" i="1"/>
  <c r="G283" i="1"/>
  <c r="O282" i="1"/>
  <c r="L282" i="1"/>
  <c r="I282" i="1"/>
  <c r="G282" i="1"/>
  <c r="O281" i="1"/>
  <c r="L281" i="1"/>
  <c r="I281" i="1"/>
  <c r="G281" i="1"/>
  <c r="O280" i="1"/>
  <c r="L280" i="1"/>
  <c r="I280" i="1"/>
  <c r="G280" i="1"/>
  <c r="O279" i="1"/>
  <c r="L279" i="1"/>
  <c r="I279" i="1"/>
  <c r="G279" i="1"/>
  <c r="P279" i="1" s="1"/>
  <c r="O278" i="1"/>
  <c r="L278" i="1"/>
  <c r="I278" i="1"/>
  <c r="G278" i="1"/>
  <c r="O277" i="1"/>
  <c r="L277" i="1"/>
  <c r="I277" i="1"/>
  <c r="G277" i="1"/>
  <c r="M277" i="1" s="1"/>
  <c r="O276" i="1"/>
  <c r="L276" i="1"/>
  <c r="I276" i="1"/>
  <c r="G276" i="1"/>
  <c r="O275" i="1"/>
  <c r="L275" i="1"/>
  <c r="I275" i="1"/>
  <c r="G275" i="1"/>
  <c r="J275" i="1" s="1"/>
  <c r="O274" i="1"/>
  <c r="L274" i="1"/>
  <c r="I274" i="1"/>
  <c r="G274" i="1"/>
  <c r="O273" i="1"/>
  <c r="L273" i="1"/>
  <c r="I273" i="1"/>
  <c r="G273" i="1"/>
  <c r="O272" i="1"/>
  <c r="L272" i="1"/>
  <c r="I272" i="1"/>
  <c r="G272" i="1"/>
  <c r="J272" i="1" s="1"/>
  <c r="O271" i="1"/>
  <c r="L271" i="1"/>
  <c r="I271" i="1"/>
  <c r="G271" i="1"/>
  <c r="O270" i="1"/>
  <c r="L270" i="1"/>
  <c r="I270" i="1"/>
  <c r="G270" i="1"/>
  <c r="O269" i="1"/>
  <c r="L269" i="1"/>
  <c r="I269" i="1"/>
  <c r="G269" i="1"/>
  <c r="O268" i="1"/>
  <c r="L268" i="1"/>
  <c r="I268" i="1"/>
  <c r="G268" i="1"/>
  <c r="P268" i="1" s="1"/>
  <c r="O267" i="1"/>
  <c r="L267" i="1"/>
  <c r="I267" i="1"/>
  <c r="G267" i="1"/>
  <c r="M267" i="1" s="1"/>
  <c r="O266" i="1"/>
  <c r="L266" i="1"/>
  <c r="I266" i="1"/>
  <c r="G266" i="1"/>
  <c r="O265" i="1"/>
  <c r="L265" i="1"/>
  <c r="I265" i="1"/>
  <c r="G265" i="1"/>
  <c r="O264" i="1"/>
  <c r="L264" i="1"/>
  <c r="I264" i="1"/>
  <c r="G264" i="1"/>
  <c r="P264" i="1" s="1"/>
  <c r="O263" i="1"/>
  <c r="L263" i="1"/>
  <c r="I263" i="1"/>
  <c r="G263" i="1"/>
  <c r="P263" i="1" s="1"/>
  <c r="O262" i="1"/>
  <c r="L262" i="1"/>
  <c r="I262" i="1"/>
  <c r="G262" i="1"/>
  <c r="O261" i="1"/>
  <c r="L261" i="1"/>
  <c r="I261" i="1"/>
  <c r="G261" i="1"/>
  <c r="O260" i="1"/>
  <c r="L260" i="1"/>
  <c r="I260" i="1"/>
  <c r="G260" i="1"/>
  <c r="O259" i="1"/>
  <c r="L259" i="1"/>
  <c r="I259" i="1"/>
  <c r="G259" i="1"/>
  <c r="O258" i="1"/>
  <c r="L258" i="1"/>
  <c r="I258" i="1"/>
  <c r="G258" i="1"/>
  <c r="O257" i="1"/>
  <c r="L257" i="1"/>
  <c r="I257" i="1"/>
  <c r="G257" i="1"/>
  <c r="J257" i="1" s="1"/>
  <c r="O256" i="1"/>
  <c r="L256" i="1"/>
  <c r="I256" i="1"/>
  <c r="G256" i="1"/>
  <c r="O255" i="1"/>
  <c r="L255" i="1"/>
  <c r="I255" i="1"/>
  <c r="G255" i="1"/>
  <c r="P255" i="1" s="1"/>
  <c r="O254" i="1"/>
  <c r="L254" i="1"/>
  <c r="I254" i="1"/>
  <c r="G254" i="1"/>
  <c r="P254" i="1" s="1"/>
  <c r="O253" i="1"/>
  <c r="L253" i="1"/>
  <c r="I253" i="1"/>
  <c r="G253" i="1"/>
  <c r="O252" i="1"/>
  <c r="L252" i="1"/>
  <c r="I252" i="1"/>
  <c r="G252" i="1"/>
  <c r="M252" i="1" s="1"/>
  <c r="O251" i="1"/>
  <c r="L251" i="1"/>
  <c r="I251" i="1"/>
  <c r="G251" i="1"/>
  <c r="J251" i="1" s="1"/>
  <c r="O250" i="1"/>
  <c r="L250" i="1"/>
  <c r="I250" i="1"/>
  <c r="G250" i="1"/>
  <c r="O249" i="1"/>
  <c r="L249" i="1"/>
  <c r="I249" i="1"/>
  <c r="G249" i="1"/>
  <c r="J249" i="1" s="1"/>
  <c r="O248" i="1"/>
  <c r="L248" i="1"/>
  <c r="I248" i="1"/>
  <c r="G248" i="1"/>
  <c r="J248" i="1" s="1"/>
  <c r="O247" i="1"/>
  <c r="L247" i="1"/>
  <c r="I247" i="1"/>
  <c r="G247" i="1"/>
  <c r="O246" i="1"/>
  <c r="L246" i="1"/>
  <c r="I246" i="1"/>
  <c r="G246" i="1"/>
  <c r="O245" i="1"/>
  <c r="L245" i="1"/>
  <c r="I245" i="1"/>
  <c r="G245" i="1"/>
  <c r="P245" i="1" s="1"/>
  <c r="O244" i="1"/>
  <c r="L244" i="1"/>
  <c r="I244" i="1"/>
  <c r="G244" i="1"/>
  <c r="O243" i="1"/>
  <c r="L243" i="1"/>
  <c r="I243" i="1"/>
  <c r="G243" i="1"/>
  <c r="M243" i="1" s="1"/>
  <c r="O242" i="1"/>
  <c r="L242" i="1"/>
  <c r="I242" i="1"/>
  <c r="G242" i="1"/>
  <c r="O241" i="1"/>
  <c r="L241" i="1"/>
  <c r="I241" i="1"/>
  <c r="G241" i="1"/>
  <c r="O240" i="1"/>
  <c r="L240" i="1"/>
  <c r="I240" i="1"/>
  <c r="G240" i="1"/>
  <c r="J240" i="1" s="1"/>
  <c r="O239" i="1"/>
  <c r="L239" i="1"/>
  <c r="I239" i="1"/>
  <c r="G239" i="1"/>
  <c r="O238" i="1"/>
  <c r="L238" i="1"/>
  <c r="I238" i="1"/>
  <c r="G238" i="1"/>
  <c r="O237" i="1"/>
  <c r="L237" i="1"/>
  <c r="I237" i="1"/>
  <c r="G237" i="1"/>
  <c r="P237" i="1" s="1"/>
  <c r="O236" i="1"/>
  <c r="L236" i="1"/>
  <c r="I236" i="1"/>
  <c r="G236" i="1"/>
  <c r="O235" i="1"/>
  <c r="L235" i="1"/>
  <c r="I235" i="1"/>
  <c r="G235" i="1"/>
  <c r="M235" i="1" s="1"/>
  <c r="O234" i="1"/>
  <c r="L234" i="1"/>
  <c r="I234" i="1"/>
  <c r="G234" i="1"/>
  <c r="O233" i="1"/>
  <c r="L233" i="1"/>
  <c r="I233" i="1"/>
  <c r="G233" i="1"/>
  <c r="J233" i="1" s="1"/>
  <c r="O232" i="1"/>
  <c r="L232" i="1"/>
  <c r="I232" i="1"/>
  <c r="G232" i="1"/>
  <c r="J232" i="1" s="1"/>
  <c r="O231" i="1"/>
  <c r="L231" i="1"/>
  <c r="I231" i="1"/>
  <c r="G231" i="1"/>
  <c r="O230" i="1"/>
  <c r="L230" i="1"/>
  <c r="I230" i="1"/>
  <c r="G230" i="1"/>
  <c r="O229" i="1"/>
  <c r="L229" i="1"/>
  <c r="I229" i="1"/>
  <c r="G229" i="1"/>
  <c r="P229" i="1" s="1"/>
  <c r="O228" i="1"/>
  <c r="L228" i="1"/>
  <c r="I228" i="1"/>
  <c r="G228" i="1"/>
  <c r="O227" i="1"/>
  <c r="L227" i="1"/>
  <c r="I227" i="1"/>
  <c r="G227" i="1"/>
  <c r="O226" i="1"/>
  <c r="L226" i="1"/>
  <c r="I226" i="1"/>
  <c r="G226" i="1"/>
  <c r="O225" i="1"/>
  <c r="L225" i="1"/>
  <c r="I225" i="1"/>
  <c r="G225" i="1"/>
  <c r="J225" i="1" s="1"/>
  <c r="O224" i="1"/>
  <c r="L224" i="1"/>
  <c r="I224" i="1"/>
  <c r="G224" i="1"/>
  <c r="J224" i="1" s="1"/>
  <c r="O223" i="1"/>
  <c r="L223" i="1"/>
  <c r="I223" i="1"/>
  <c r="G223" i="1"/>
  <c r="P223" i="1" s="1"/>
  <c r="O222" i="1"/>
  <c r="L222" i="1"/>
  <c r="I222" i="1"/>
  <c r="G222" i="1"/>
  <c r="O221" i="1"/>
  <c r="L221" i="1"/>
  <c r="I221" i="1"/>
  <c r="G221" i="1"/>
  <c r="O220" i="1"/>
  <c r="L220" i="1"/>
  <c r="I220" i="1"/>
  <c r="G220" i="1"/>
  <c r="O219" i="1"/>
  <c r="L219" i="1"/>
  <c r="I219" i="1"/>
  <c r="G219" i="1"/>
  <c r="M219" i="1" s="1"/>
  <c r="O218" i="1"/>
  <c r="L218" i="1"/>
  <c r="I218" i="1"/>
  <c r="G218" i="1"/>
  <c r="O217" i="1"/>
  <c r="L217" i="1"/>
  <c r="I217" i="1"/>
  <c r="G217" i="1"/>
  <c r="J217" i="1" s="1"/>
  <c r="O216" i="1"/>
  <c r="L216" i="1"/>
  <c r="I216" i="1"/>
  <c r="G216" i="1"/>
  <c r="J216" i="1" s="1"/>
  <c r="O215" i="1"/>
  <c r="L215" i="1"/>
  <c r="I215" i="1"/>
  <c r="G215" i="1"/>
  <c r="O214" i="1"/>
  <c r="L214" i="1"/>
  <c r="I214" i="1"/>
  <c r="G214" i="1"/>
  <c r="O213" i="1"/>
  <c r="L213" i="1"/>
  <c r="I213" i="1"/>
  <c r="G213" i="1"/>
  <c r="P213" i="1" s="1"/>
  <c r="O212" i="1"/>
  <c r="L212" i="1"/>
  <c r="I212" i="1"/>
  <c r="G212" i="1"/>
  <c r="O211" i="1"/>
  <c r="L211" i="1"/>
  <c r="I211" i="1"/>
  <c r="G211" i="1"/>
  <c r="M211" i="1" s="1"/>
  <c r="O210" i="1"/>
  <c r="L210" i="1"/>
  <c r="I210" i="1"/>
  <c r="G210" i="1"/>
  <c r="O209" i="1"/>
  <c r="L209" i="1"/>
  <c r="I209" i="1"/>
  <c r="G209" i="1"/>
  <c r="O208" i="1"/>
  <c r="L208" i="1"/>
  <c r="I208" i="1"/>
  <c r="G208" i="1"/>
  <c r="J208" i="1" s="1"/>
  <c r="O207" i="1"/>
  <c r="L207" i="1"/>
  <c r="I207" i="1"/>
  <c r="G207" i="1"/>
  <c r="O206" i="1"/>
  <c r="L206" i="1"/>
  <c r="I206" i="1"/>
  <c r="G206" i="1"/>
  <c r="O205" i="1"/>
  <c r="L205" i="1"/>
  <c r="I205" i="1"/>
  <c r="G205" i="1"/>
  <c r="P205" i="1" s="1"/>
  <c r="O204" i="1"/>
  <c r="L204" i="1"/>
  <c r="I204" i="1"/>
  <c r="G204" i="1"/>
  <c r="O203" i="1"/>
  <c r="L203" i="1"/>
  <c r="I203" i="1"/>
  <c r="G203" i="1"/>
  <c r="M203" i="1" s="1"/>
  <c r="O202" i="1"/>
  <c r="L202" i="1"/>
  <c r="I202" i="1"/>
  <c r="G202" i="1"/>
  <c r="O201" i="1"/>
  <c r="L201" i="1"/>
  <c r="I201" i="1"/>
  <c r="G201" i="1"/>
  <c r="J201" i="1" s="1"/>
  <c r="O200" i="1"/>
  <c r="L200" i="1"/>
  <c r="I200" i="1"/>
  <c r="G200" i="1"/>
  <c r="O199" i="1"/>
  <c r="L199" i="1"/>
  <c r="I199" i="1"/>
  <c r="G199" i="1"/>
  <c r="O198" i="1"/>
  <c r="L198" i="1"/>
  <c r="I198" i="1"/>
  <c r="G198" i="1"/>
  <c r="O197" i="1"/>
  <c r="L197" i="1"/>
  <c r="I197" i="1"/>
  <c r="G197" i="1"/>
  <c r="O196" i="1"/>
  <c r="L196" i="1"/>
  <c r="I196" i="1"/>
  <c r="G196" i="1"/>
  <c r="O195" i="1"/>
  <c r="L195" i="1"/>
  <c r="I195" i="1"/>
  <c r="G195" i="1"/>
  <c r="M195" i="1" s="1"/>
  <c r="O194" i="1"/>
  <c r="L194" i="1"/>
  <c r="I194" i="1"/>
  <c r="G194" i="1"/>
  <c r="O193" i="1"/>
  <c r="L193" i="1"/>
  <c r="I193" i="1"/>
  <c r="G193" i="1"/>
  <c r="J193" i="1" s="1"/>
  <c r="O192" i="1"/>
  <c r="L192" i="1"/>
  <c r="I192" i="1"/>
  <c r="G192" i="1"/>
  <c r="J192" i="1" s="1"/>
  <c r="O191" i="1"/>
  <c r="L191" i="1"/>
  <c r="I191" i="1"/>
  <c r="G191" i="1"/>
  <c r="P191" i="1" s="1"/>
  <c r="O190" i="1"/>
  <c r="L190" i="1"/>
  <c r="I190" i="1"/>
  <c r="G190" i="1"/>
  <c r="P190" i="1" s="1"/>
  <c r="O189" i="1"/>
  <c r="L189" i="1"/>
  <c r="I189" i="1"/>
  <c r="G189" i="1"/>
  <c r="P189" i="1" s="1"/>
  <c r="O188" i="1"/>
  <c r="L188" i="1"/>
  <c r="I188" i="1"/>
  <c r="G188" i="1"/>
  <c r="O187" i="1"/>
  <c r="L187" i="1"/>
  <c r="I187" i="1"/>
  <c r="G187" i="1"/>
  <c r="M187" i="1" s="1"/>
  <c r="O186" i="1"/>
  <c r="L186" i="1"/>
  <c r="I186" i="1"/>
  <c r="G186" i="1"/>
  <c r="O185" i="1"/>
  <c r="L185" i="1"/>
  <c r="I185" i="1"/>
  <c r="G185" i="1"/>
  <c r="O184" i="1"/>
  <c r="L184" i="1"/>
  <c r="I184" i="1"/>
  <c r="G184" i="1"/>
  <c r="O183" i="1"/>
  <c r="L183" i="1"/>
  <c r="I183" i="1"/>
  <c r="G183" i="1"/>
  <c r="O182" i="1"/>
  <c r="L182" i="1"/>
  <c r="I182" i="1"/>
  <c r="G182" i="1"/>
  <c r="O181" i="1"/>
  <c r="L181" i="1"/>
  <c r="I181" i="1"/>
  <c r="G181" i="1"/>
  <c r="O180" i="1"/>
  <c r="L180" i="1"/>
  <c r="I180" i="1"/>
  <c r="G180" i="1"/>
  <c r="O179" i="1"/>
  <c r="L179" i="1"/>
  <c r="I179" i="1"/>
  <c r="G179" i="1"/>
  <c r="O178" i="1"/>
  <c r="L178" i="1"/>
  <c r="I178" i="1"/>
  <c r="G178" i="1"/>
  <c r="J178" i="1" s="1"/>
  <c r="O177" i="1"/>
  <c r="L177" i="1"/>
  <c r="I177" i="1"/>
  <c r="G177" i="1"/>
  <c r="O176" i="1"/>
  <c r="L176" i="1"/>
  <c r="I176" i="1"/>
  <c r="G176" i="1"/>
  <c r="O175" i="1"/>
  <c r="L175" i="1"/>
  <c r="I175" i="1"/>
  <c r="G175" i="1"/>
  <c r="O174" i="1"/>
  <c r="L174" i="1"/>
  <c r="I174" i="1"/>
  <c r="G174" i="1"/>
  <c r="M174" i="1" s="1"/>
  <c r="O173" i="1"/>
  <c r="L173" i="1"/>
  <c r="I173" i="1"/>
  <c r="G173" i="1"/>
  <c r="O172" i="1"/>
  <c r="L172" i="1"/>
  <c r="I172" i="1"/>
  <c r="G172" i="1"/>
  <c r="O171" i="1"/>
  <c r="L171" i="1"/>
  <c r="I171" i="1"/>
  <c r="G171" i="1"/>
  <c r="M171" i="1" s="1"/>
  <c r="O170" i="1"/>
  <c r="L170" i="1"/>
  <c r="I170" i="1"/>
  <c r="G170" i="1"/>
  <c r="O169" i="1"/>
  <c r="L169" i="1"/>
  <c r="I169" i="1"/>
  <c r="G169" i="1"/>
  <c r="O168" i="1"/>
  <c r="L168" i="1"/>
  <c r="I168" i="1"/>
  <c r="G168" i="1"/>
  <c r="O167" i="1"/>
  <c r="L167" i="1"/>
  <c r="I167" i="1"/>
  <c r="G167" i="1"/>
  <c r="O166" i="1"/>
  <c r="L166" i="1"/>
  <c r="I166" i="1"/>
  <c r="G166" i="1"/>
  <c r="M166" i="1" s="1"/>
  <c r="O165" i="1"/>
  <c r="L165" i="1"/>
  <c r="I165" i="1"/>
  <c r="G165" i="1"/>
  <c r="O164" i="1"/>
  <c r="L164" i="1"/>
  <c r="I164" i="1"/>
  <c r="G164" i="1"/>
  <c r="J164" i="1" s="1"/>
  <c r="O163" i="1"/>
  <c r="L163" i="1"/>
  <c r="I163" i="1"/>
  <c r="G163" i="1"/>
  <c r="J163" i="1" s="1"/>
  <c r="O162" i="1"/>
  <c r="L162" i="1"/>
  <c r="I162" i="1"/>
  <c r="G162" i="1"/>
  <c r="O161" i="1"/>
  <c r="L161" i="1"/>
  <c r="I161" i="1"/>
  <c r="G161" i="1"/>
  <c r="O160" i="1"/>
  <c r="L160" i="1"/>
  <c r="I160" i="1"/>
  <c r="G160" i="1"/>
  <c r="P160" i="1" s="1"/>
  <c r="O159" i="1"/>
  <c r="L159" i="1"/>
  <c r="I159" i="1"/>
  <c r="G159" i="1"/>
  <c r="O158" i="1"/>
  <c r="L158" i="1"/>
  <c r="I158" i="1"/>
  <c r="G158" i="1"/>
  <c r="M158" i="1" s="1"/>
  <c r="O157" i="1"/>
  <c r="L157" i="1"/>
  <c r="I157" i="1"/>
  <c r="G157" i="1"/>
  <c r="O156" i="1"/>
  <c r="L156" i="1"/>
  <c r="I156" i="1"/>
  <c r="G156" i="1"/>
  <c r="J156" i="1" s="1"/>
  <c r="O155" i="1"/>
  <c r="L155" i="1"/>
  <c r="I155" i="1"/>
  <c r="G155" i="1"/>
  <c r="J155" i="1" s="1"/>
  <c r="O154" i="1"/>
  <c r="L154" i="1"/>
  <c r="I154" i="1"/>
  <c r="G154" i="1"/>
  <c r="O153" i="1"/>
  <c r="L153" i="1"/>
  <c r="I153" i="1"/>
  <c r="G153" i="1"/>
  <c r="O152" i="1"/>
  <c r="L152" i="1"/>
  <c r="I152" i="1"/>
  <c r="G152" i="1"/>
  <c r="P152" i="1" s="1"/>
  <c r="O151" i="1"/>
  <c r="L151" i="1"/>
  <c r="I151" i="1"/>
  <c r="G151" i="1"/>
  <c r="O150" i="1"/>
  <c r="L150" i="1"/>
  <c r="I150" i="1"/>
  <c r="G150" i="1"/>
  <c r="M150" i="1" s="1"/>
  <c r="O149" i="1"/>
  <c r="L149" i="1"/>
  <c r="I149" i="1"/>
  <c r="G149" i="1"/>
  <c r="O148" i="1"/>
  <c r="L148" i="1"/>
  <c r="I148" i="1"/>
  <c r="G148" i="1"/>
  <c r="J148" i="1" s="1"/>
  <c r="O147" i="1"/>
  <c r="L147" i="1"/>
  <c r="I147" i="1"/>
  <c r="G147" i="1"/>
  <c r="J147" i="1" s="1"/>
  <c r="O146" i="1"/>
  <c r="L146" i="1"/>
  <c r="I146" i="1"/>
  <c r="G146" i="1"/>
  <c r="O145" i="1"/>
  <c r="L145" i="1"/>
  <c r="I145" i="1"/>
  <c r="G145" i="1"/>
  <c r="O144" i="1"/>
  <c r="L144" i="1"/>
  <c r="I144" i="1"/>
  <c r="G144" i="1"/>
  <c r="P144" i="1" s="1"/>
  <c r="O143" i="1"/>
  <c r="L143" i="1"/>
  <c r="I143" i="1"/>
  <c r="G143" i="1"/>
  <c r="O142" i="1"/>
  <c r="L142" i="1"/>
  <c r="I142" i="1"/>
  <c r="G142" i="1"/>
  <c r="O141" i="1"/>
  <c r="L141" i="1"/>
  <c r="I141" i="1"/>
  <c r="G141" i="1"/>
  <c r="O140" i="1"/>
  <c r="L140" i="1"/>
  <c r="I140" i="1"/>
  <c r="G140" i="1"/>
  <c r="J140" i="1" s="1"/>
  <c r="O139" i="1"/>
  <c r="L139" i="1"/>
  <c r="I139" i="1"/>
  <c r="G139" i="1"/>
  <c r="J139" i="1" s="1"/>
  <c r="O138" i="1"/>
  <c r="L138" i="1"/>
  <c r="I138" i="1"/>
  <c r="G138" i="1"/>
  <c r="P138" i="1" s="1"/>
  <c r="O137" i="1"/>
  <c r="L137" i="1"/>
  <c r="I137" i="1"/>
  <c r="G137" i="1"/>
  <c r="O136" i="1"/>
  <c r="L136" i="1"/>
  <c r="I136" i="1"/>
  <c r="G136" i="1"/>
  <c r="O135" i="1"/>
  <c r="L135" i="1"/>
  <c r="I135" i="1"/>
  <c r="G135" i="1"/>
  <c r="O134" i="1"/>
  <c r="L134" i="1"/>
  <c r="I134" i="1"/>
  <c r="G134" i="1"/>
  <c r="M134" i="1" s="1"/>
  <c r="O133" i="1"/>
  <c r="L133" i="1"/>
  <c r="I133" i="1"/>
  <c r="G133" i="1"/>
  <c r="O132" i="1"/>
  <c r="L132" i="1"/>
  <c r="I132" i="1"/>
  <c r="G132" i="1"/>
  <c r="J132" i="1" s="1"/>
  <c r="O131" i="1"/>
  <c r="L131" i="1"/>
  <c r="I131" i="1"/>
  <c r="G131" i="1"/>
  <c r="J131" i="1" s="1"/>
  <c r="O130" i="1"/>
  <c r="L130" i="1"/>
  <c r="I130" i="1"/>
  <c r="G130" i="1"/>
  <c r="O129" i="1"/>
  <c r="L129" i="1"/>
  <c r="I129" i="1"/>
  <c r="G129" i="1"/>
  <c r="O128" i="1"/>
  <c r="L128" i="1"/>
  <c r="I128" i="1"/>
  <c r="G128" i="1"/>
  <c r="P128" i="1" s="1"/>
  <c r="O127" i="1"/>
  <c r="L127" i="1"/>
  <c r="I127" i="1"/>
  <c r="G127" i="1"/>
  <c r="O126" i="1"/>
  <c r="L126" i="1"/>
  <c r="I126" i="1"/>
  <c r="G126" i="1"/>
  <c r="M126" i="1" s="1"/>
  <c r="O125" i="1"/>
  <c r="L125" i="1"/>
  <c r="I125" i="1"/>
  <c r="G125" i="1"/>
  <c r="O124" i="1"/>
  <c r="L124" i="1"/>
  <c r="I124" i="1"/>
  <c r="G124" i="1"/>
  <c r="O123" i="1"/>
  <c r="L123" i="1"/>
  <c r="I123" i="1"/>
  <c r="G123" i="1"/>
  <c r="J123" i="1" s="1"/>
  <c r="O122" i="1"/>
  <c r="L122" i="1"/>
  <c r="I122" i="1"/>
  <c r="G122" i="1"/>
  <c r="O121" i="1"/>
  <c r="L121" i="1"/>
  <c r="I121" i="1"/>
  <c r="G121" i="1"/>
  <c r="O120" i="1"/>
  <c r="L120" i="1"/>
  <c r="I120" i="1"/>
  <c r="G120" i="1"/>
  <c r="P120" i="1" s="1"/>
  <c r="O119" i="1"/>
  <c r="L119" i="1"/>
  <c r="I119" i="1"/>
  <c r="G119" i="1"/>
  <c r="O118" i="1"/>
  <c r="L118" i="1"/>
  <c r="I118" i="1"/>
  <c r="G118" i="1"/>
  <c r="M118" i="1" s="1"/>
  <c r="O117" i="1"/>
  <c r="L117" i="1"/>
  <c r="I117" i="1"/>
  <c r="G117" i="1"/>
  <c r="O116" i="1"/>
  <c r="L116" i="1"/>
  <c r="I116" i="1"/>
  <c r="G116" i="1"/>
  <c r="J116" i="1" s="1"/>
  <c r="O115" i="1"/>
  <c r="L115" i="1"/>
  <c r="I115" i="1"/>
  <c r="G115" i="1"/>
  <c r="J115" i="1" s="1"/>
  <c r="O114" i="1"/>
  <c r="L114" i="1"/>
  <c r="I114" i="1"/>
  <c r="G114" i="1"/>
  <c r="O113" i="1"/>
  <c r="L113" i="1"/>
  <c r="I113" i="1"/>
  <c r="G113" i="1"/>
  <c r="O112" i="1"/>
  <c r="L112" i="1"/>
  <c r="I112" i="1"/>
  <c r="G112" i="1"/>
  <c r="P112" i="1" s="1"/>
  <c r="O111" i="1"/>
  <c r="L111" i="1"/>
  <c r="I111" i="1"/>
  <c r="G111" i="1"/>
  <c r="O110" i="1"/>
  <c r="L110" i="1"/>
  <c r="I110" i="1"/>
  <c r="G110" i="1"/>
  <c r="O109" i="1"/>
  <c r="L109" i="1"/>
  <c r="I109" i="1"/>
  <c r="G109" i="1"/>
  <c r="O108" i="1"/>
  <c r="L108" i="1"/>
  <c r="I108" i="1"/>
  <c r="G108" i="1"/>
  <c r="J108" i="1" s="1"/>
  <c r="O107" i="1"/>
  <c r="L107" i="1"/>
  <c r="I107" i="1"/>
  <c r="G107" i="1"/>
  <c r="J107" i="1" s="1"/>
  <c r="O106" i="1"/>
  <c r="L106" i="1"/>
  <c r="I106" i="1"/>
  <c r="G106" i="1"/>
  <c r="P106" i="1" s="1"/>
  <c r="O105" i="1"/>
  <c r="L105" i="1"/>
  <c r="I105" i="1"/>
  <c r="G105" i="1"/>
  <c r="O104" i="1"/>
  <c r="L104" i="1"/>
  <c r="I104" i="1"/>
  <c r="G104" i="1"/>
  <c r="O103" i="1"/>
  <c r="L103" i="1"/>
  <c r="I103" i="1"/>
  <c r="G103" i="1"/>
  <c r="O102" i="1"/>
  <c r="L102" i="1"/>
  <c r="I102" i="1"/>
  <c r="G102" i="1"/>
  <c r="M102" i="1" s="1"/>
  <c r="O101" i="1"/>
  <c r="L101" i="1"/>
  <c r="I101" i="1"/>
  <c r="G101" i="1"/>
  <c r="O100" i="1"/>
  <c r="L100" i="1"/>
  <c r="I100" i="1"/>
  <c r="G100" i="1"/>
  <c r="J100" i="1" s="1"/>
  <c r="O99" i="1"/>
  <c r="L99" i="1"/>
  <c r="I99" i="1"/>
  <c r="G99" i="1"/>
  <c r="J99" i="1" s="1"/>
  <c r="O98" i="1"/>
  <c r="L98" i="1"/>
  <c r="I98" i="1"/>
  <c r="G98" i="1"/>
  <c r="O97" i="1"/>
  <c r="L97" i="1"/>
  <c r="I97" i="1"/>
  <c r="G97" i="1"/>
  <c r="O96" i="1"/>
  <c r="L96" i="1"/>
  <c r="I96" i="1"/>
  <c r="G96" i="1"/>
  <c r="J96" i="1" s="1"/>
  <c r="O95" i="1"/>
  <c r="L95" i="1"/>
  <c r="I95" i="1"/>
  <c r="G95" i="1"/>
  <c r="O94" i="1"/>
  <c r="L94" i="1"/>
  <c r="I94" i="1"/>
  <c r="G94" i="1"/>
  <c r="O93" i="1"/>
  <c r="L93" i="1"/>
  <c r="I93" i="1"/>
  <c r="G93" i="1"/>
  <c r="O92" i="1"/>
  <c r="L92" i="1"/>
  <c r="I92" i="1"/>
  <c r="G92" i="1"/>
  <c r="P92" i="1" s="1"/>
  <c r="O91" i="1"/>
  <c r="L91" i="1"/>
  <c r="I91" i="1"/>
  <c r="G91" i="1"/>
  <c r="J91" i="1" s="1"/>
  <c r="O90" i="1"/>
  <c r="L90" i="1"/>
  <c r="I90" i="1"/>
  <c r="G90" i="1"/>
  <c r="O89" i="1"/>
  <c r="L89" i="1"/>
  <c r="I89" i="1"/>
  <c r="G89" i="1"/>
  <c r="P89" i="1" s="1"/>
  <c r="O88" i="1"/>
  <c r="L88" i="1"/>
  <c r="I88" i="1"/>
  <c r="G88" i="1"/>
  <c r="J88" i="1" s="1"/>
  <c r="O87" i="1"/>
  <c r="L87" i="1"/>
  <c r="I87" i="1"/>
  <c r="G87" i="1"/>
  <c r="O86" i="1"/>
  <c r="L86" i="1"/>
  <c r="I86" i="1"/>
  <c r="G86" i="1"/>
  <c r="P86" i="1" s="1"/>
  <c r="O85" i="1"/>
  <c r="L85" i="1"/>
  <c r="I85" i="1"/>
  <c r="G85" i="1"/>
  <c r="O84" i="1"/>
  <c r="L84" i="1"/>
  <c r="I84" i="1"/>
  <c r="G84" i="1"/>
  <c r="O83" i="1"/>
  <c r="L83" i="1"/>
  <c r="I83" i="1"/>
  <c r="G83" i="1"/>
  <c r="J83" i="1" s="1"/>
  <c r="O82" i="1"/>
  <c r="L82" i="1"/>
  <c r="I82" i="1"/>
  <c r="G82" i="1"/>
  <c r="O81" i="1"/>
  <c r="L81" i="1"/>
  <c r="I81" i="1"/>
  <c r="G81" i="1"/>
  <c r="O80" i="1"/>
  <c r="L80" i="1"/>
  <c r="I80" i="1"/>
  <c r="G80" i="1"/>
  <c r="J80" i="1" s="1"/>
  <c r="O79" i="1"/>
  <c r="L79" i="1"/>
  <c r="I79" i="1"/>
  <c r="G79" i="1"/>
  <c r="O78" i="1"/>
  <c r="L78" i="1"/>
  <c r="I78" i="1"/>
  <c r="G78" i="1"/>
  <c r="O77" i="1"/>
  <c r="L77" i="1"/>
  <c r="I77" i="1"/>
  <c r="G77" i="1"/>
  <c r="O76" i="1"/>
  <c r="L76" i="1"/>
  <c r="I76" i="1"/>
  <c r="G76" i="1"/>
  <c r="P76" i="1" s="1"/>
  <c r="O75" i="1"/>
  <c r="L75" i="1"/>
  <c r="I75" i="1"/>
  <c r="G75" i="1"/>
  <c r="J75" i="1" s="1"/>
  <c r="O74" i="1"/>
  <c r="L74" i="1"/>
  <c r="I74" i="1"/>
  <c r="G74" i="1"/>
  <c r="O73" i="1"/>
  <c r="L73" i="1"/>
  <c r="I73" i="1"/>
  <c r="G73" i="1"/>
  <c r="P73" i="1" s="1"/>
  <c r="O72" i="1"/>
  <c r="L72" i="1"/>
  <c r="I72" i="1"/>
  <c r="G72" i="1"/>
  <c r="J72" i="1" s="1"/>
  <c r="O71" i="1"/>
  <c r="L71" i="1"/>
  <c r="I71" i="1"/>
  <c r="G71" i="1"/>
  <c r="O70" i="1"/>
  <c r="L70" i="1"/>
  <c r="I70" i="1"/>
  <c r="G70" i="1"/>
  <c r="P70" i="1" s="1"/>
  <c r="O69" i="1"/>
  <c r="L69" i="1"/>
  <c r="I69" i="1"/>
  <c r="G69" i="1"/>
  <c r="O68" i="1"/>
  <c r="L68" i="1"/>
  <c r="I68" i="1"/>
  <c r="G68" i="1"/>
  <c r="O67" i="1"/>
  <c r="L67" i="1"/>
  <c r="I67" i="1"/>
  <c r="G67" i="1"/>
  <c r="J67" i="1" s="1"/>
  <c r="O66" i="1"/>
  <c r="L66" i="1"/>
  <c r="I66" i="1"/>
  <c r="G66" i="1"/>
  <c r="P66" i="1" s="1"/>
  <c r="O65" i="1"/>
  <c r="L65" i="1"/>
  <c r="I65" i="1"/>
  <c r="G65" i="1"/>
  <c r="O64" i="1"/>
  <c r="L64" i="1"/>
  <c r="I64" i="1"/>
  <c r="G64" i="1"/>
  <c r="O63" i="1"/>
  <c r="L63" i="1"/>
  <c r="I63" i="1"/>
  <c r="G63" i="1"/>
  <c r="M63" i="1" s="1"/>
  <c r="O62" i="1"/>
  <c r="L62" i="1"/>
  <c r="I62" i="1"/>
  <c r="G62" i="1"/>
  <c r="O61" i="1"/>
  <c r="L61" i="1"/>
  <c r="I61" i="1"/>
  <c r="G61" i="1"/>
  <c r="P61" i="1" s="1"/>
  <c r="O60" i="1"/>
  <c r="L60" i="1"/>
  <c r="I60" i="1"/>
  <c r="G60" i="1"/>
  <c r="O59" i="1"/>
  <c r="L59" i="1"/>
  <c r="I59" i="1"/>
  <c r="G59" i="1"/>
  <c r="O58" i="1"/>
  <c r="L58" i="1"/>
  <c r="I58" i="1"/>
  <c r="G58" i="1"/>
  <c r="M58" i="1" s="1"/>
  <c r="O57" i="1"/>
  <c r="L57" i="1"/>
  <c r="I57" i="1"/>
  <c r="G57" i="1"/>
  <c r="O56" i="1"/>
  <c r="L56" i="1"/>
  <c r="I56" i="1"/>
  <c r="G56" i="1"/>
  <c r="O55" i="1"/>
  <c r="L55" i="1"/>
  <c r="I55" i="1"/>
  <c r="G55" i="1"/>
  <c r="M55" i="1" s="1"/>
  <c r="O54" i="1"/>
  <c r="L54" i="1"/>
  <c r="I54" i="1"/>
  <c r="G54" i="1"/>
  <c r="O53" i="1"/>
  <c r="L53" i="1"/>
  <c r="I53" i="1"/>
  <c r="G53" i="1"/>
  <c r="P53" i="1" s="1"/>
  <c r="O52" i="1"/>
  <c r="L52" i="1"/>
  <c r="I52" i="1"/>
  <c r="G52" i="1"/>
  <c r="O51" i="1"/>
  <c r="L51" i="1"/>
  <c r="I51" i="1"/>
  <c r="G51" i="1"/>
  <c r="O50" i="1"/>
  <c r="L50" i="1"/>
  <c r="I50" i="1"/>
  <c r="G50" i="1"/>
  <c r="M50" i="1" s="1"/>
  <c r="O49" i="1"/>
  <c r="L49" i="1"/>
  <c r="I49" i="1"/>
  <c r="G49" i="1"/>
  <c r="O48" i="1"/>
  <c r="L48" i="1"/>
  <c r="I48" i="1"/>
  <c r="G48" i="1"/>
  <c r="O47" i="1"/>
  <c r="L47" i="1"/>
  <c r="I47" i="1"/>
  <c r="G47" i="1"/>
  <c r="M47" i="1" s="1"/>
  <c r="O46" i="1"/>
  <c r="L46" i="1"/>
  <c r="I46" i="1"/>
  <c r="G46" i="1"/>
  <c r="O45" i="1"/>
  <c r="L45" i="1"/>
  <c r="I45" i="1"/>
  <c r="G45" i="1"/>
  <c r="P45" i="1" s="1"/>
  <c r="O44" i="1"/>
  <c r="L44" i="1"/>
  <c r="I44" i="1"/>
  <c r="O43" i="1"/>
  <c r="L43" i="1"/>
  <c r="I43" i="1"/>
  <c r="G43" i="1"/>
  <c r="O42" i="1"/>
  <c r="L42" i="1"/>
  <c r="I42" i="1"/>
  <c r="G42" i="1"/>
  <c r="M42" i="1" s="1"/>
  <c r="O41" i="1"/>
  <c r="L41" i="1"/>
  <c r="I41" i="1"/>
  <c r="G41" i="1"/>
  <c r="O40" i="1"/>
  <c r="L40" i="1"/>
  <c r="I40" i="1"/>
  <c r="G40" i="1"/>
  <c r="O39" i="1"/>
  <c r="L39" i="1"/>
  <c r="I39" i="1"/>
  <c r="G39" i="1"/>
  <c r="M39" i="1" s="1"/>
  <c r="O38" i="1"/>
  <c r="L38" i="1"/>
  <c r="I38" i="1"/>
  <c r="G38" i="1"/>
  <c r="O37" i="1"/>
  <c r="L37" i="1"/>
  <c r="I37" i="1"/>
  <c r="G37" i="1"/>
  <c r="P37" i="1" s="1"/>
  <c r="O36" i="1"/>
  <c r="L36" i="1"/>
  <c r="I36" i="1"/>
  <c r="G36" i="1"/>
  <c r="O35" i="1"/>
  <c r="L35" i="1"/>
  <c r="I35" i="1"/>
  <c r="G35" i="1"/>
  <c r="O34" i="1"/>
  <c r="L34" i="1"/>
  <c r="I34" i="1"/>
  <c r="G34" i="1"/>
  <c r="M34" i="1" s="1"/>
  <c r="O33" i="1"/>
  <c r="L33" i="1"/>
  <c r="I33" i="1"/>
  <c r="G33" i="1"/>
  <c r="O32" i="1"/>
  <c r="L32" i="1"/>
  <c r="I32" i="1"/>
  <c r="G32" i="1"/>
  <c r="O31" i="1"/>
  <c r="L31" i="1"/>
  <c r="I31" i="1"/>
  <c r="G31" i="1"/>
  <c r="M31" i="1" s="1"/>
  <c r="O30" i="1"/>
  <c r="L30" i="1"/>
  <c r="I30" i="1"/>
  <c r="G30" i="1"/>
  <c r="O29" i="1"/>
  <c r="L29" i="1"/>
  <c r="I29" i="1"/>
  <c r="G29" i="1"/>
  <c r="P29" i="1" s="1"/>
  <c r="O28" i="1"/>
  <c r="L28" i="1"/>
  <c r="I28" i="1"/>
  <c r="G28" i="1"/>
  <c r="O27" i="1"/>
  <c r="L27" i="1"/>
  <c r="I27" i="1"/>
  <c r="G27" i="1"/>
  <c r="O26" i="1"/>
  <c r="L26" i="1"/>
  <c r="I26" i="1"/>
  <c r="M26" i="1"/>
  <c r="O25" i="1"/>
  <c r="L25" i="1"/>
  <c r="I25" i="1"/>
  <c r="G25" i="1"/>
  <c r="O24" i="1"/>
  <c r="L24" i="1"/>
  <c r="I24" i="1"/>
  <c r="G24" i="1"/>
  <c r="O23" i="1"/>
  <c r="L23" i="1"/>
  <c r="I23" i="1"/>
  <c r="G23" i="1"/>
  <c r="M23" i="1" s="1"/>
  <c r="O22" i="1"/>
  <c r="L22" i="1"/>
  <c r="I22" i="1"/>
  <c r="G22" i="1"/>
  <c r="O21" i="1"/>
  <c r="L21" i="1"/>
  <c r="I21" i="1"/>
  <c r="G21" i="1"/>
  <c r="P21" i="1" s="1"/>
  <c r="O20" i="1"/>
  <c r="L20" i="1"/>
  <c r="I20" i="1"/>
  <c r="G20" i="1"/>
  <c r="O19" i="1"/>
  <c r="L19" i="1"/>
  <c r="I19" i="1"/>
  <c r="G19" i="1"/>
  <c r="O18" i="1"/>
  <c r="L18" i="1"/>
  <c r="I18" i="1"/>
  <c r="G18" i="1"/>
  <c r="P18" i="1" s="1"/>
  <c r="O17" i="1"/>
  <c r="L17" i="1"/>
  <c r="I17" i="1"/>
  <c r="G17" i="1"/>
  <c r="O16" i="1"/>
  <c r="L16" i="1"/>
  <c r="I16" i="1"/>
  <c r="G16" i="1"/>
  <c r="O15" i="1"/>
  <c r="L15" i="1"/>
  <c r="I15" i="1"/>
  <c r="G15" i="1"/>
  <c r="M15" i="1" s="1"/>
  <c r="O14" i="1"/>
  <c r="L14" i="1"/>
  <c r="I14" i="1"/>
  <c r="G14" i="1"/>
  <c r="O13" i="1"/>
  <c r="L13" i="1"/>
  <c r="I13" i="1"/>
  <c r="G13" i="1"/>
  <c r="P13" i="1" s="1"/>
  <c r="O12" i="1"/>
  <c r="L12" i="1"/>
  <c r="I12" i="1"/>
  <c r="G12" i="1"/>
  <c r="O11" i="1"/>
  <c r="L11" i="1"/>
  <c r="I11" i="1"/>
  <c r="G11" i="1"/>
  <c r="O10" i="1"/>
  <c r="L10" i="1"/>
  <c r="I10" i="1"/>
  <c r="G10" i="1"/>
  <c r="M10" i="1" s="1"/>
  <c r="O9" i="1"/>
  <c r="L9" i="1"/>
  <c r="I9" i="1"/>
  <c r="G9" i="1"/>
  <c r="O8" i="1"/>
  <c r="L8" i="1"/>
  <c r="I8" i="1"/>
  <c r="G8" i="1"/>
  <c r="O7" i="1"/>
  <c r="L7" i="1"/>
  <c r="I7" i="1"/>
  <c r="G7" i="1"/>
  <c r="M7" i="1" s="1"/>
  <c r="O6" i="1"/>
  <c r="L6" i="1"/>
  <c r="I6" i="1"/>
  <c r="G6" i="1"/>
  <c r="O5" i="1"/>
  <c r="L5" i="1"/>
  <c r="I5" i="1"/>
  <c r="G5" i="1"/>
  <c r="P5" i="1" s="1"/>
  <c r="O4" i="1"/>
  <c r="L4" i="1"/>
  <c r="I4" i="1"/>
  <c r="G4" i="1"/>
  <c r="O3" i="1"/>
  <c r="L3" i="1"/>
  <c r="I3" i="1"/>
  <c r="G3" i="1"/>
  <c r="O2" i="1"/>
  <c r="L2" i="1"/>
  <c r="I2" i="1"/>
  <c r="G2" i="1"/>
  <c r="P2" i="1" s="1"/>
  <c r="P3" i="1" l="1"/>
  <c r="M3" i="1"/>
  <c r="J3" i="1"/>
  <c r="M4" i="1"/>
  <c r="J4" i="1"/>
  <c r="P4" i="1"/>
  <c r="J5" i="1"/>
  <c r="M5" i="1"/>
  <c r="J6" i="1"/>
  <c r="M6" i="1"/>
  <c r="P8" i="1"/>
  <c r="M8" i="1"/>
  <c r="J8" i="1"/>
  <c r="P9" i="1"/>
  <c r="J9" i="1"/>
  <c r="P11" i="1"/>
  <c r="M11" i="1"/>
  <c r="J11" i="1"/>
  <c r="M12" i="1"/>
  <c r="J12" i="1"/>
  <c r="P12" i="1"/>
  <c r="J13" i="1"/>
  <c r="M13" i="1"/>
  <c r="J14" i="1"/>
  <c r="M14" i="1"/>
  <c r="P16" i="1"/>
  <c r="M16" i="1"/>
  <c r="J16" i="1"/>
  <c r="P17" i="1"/>
  <c r="J17" i="1"/>
  <c r="P19" i="1"/>
  <c r="M19" i="1"/>
  <c r="J19" i="1"/>
  <c r="M20" i="1"/>
  <c r="J20" i="1"/>
  <c r="P20" i="1"/>
  <c r="J21" i="1"/>
  <c r="M21" i="1"/>
  <c r="J22" i="1"/>
  <c r="M22" i="1"/>
  <c r="P24" i="1"/>
  <c r="M24" i="1"/>
  <c r="J24" i="1"/>
  <c r="P25" i="1"/>
  <c r="J25" i="1"/>
  <c r="P27" i="1"/>
  <c r="M27" i="1"/>
  <c r="J27" i="1"/>
  <c r="M28" i="1"/>
  <c r="J28" i="1"/>
  <c r="P28" i="1"/>
  <c r="J29" i="1"/>
  <c r="M29" i="1"/>
  <c r="J30" i="1"/>
  <c r="M30" i="1"/>
  <c r="P32" i="1"/>
  <c r="M32" i="1"/>
  <c r="J32" i="1"/>
  <c r="P33" i="1"/>
  <c r="J33" i="1"/>
  <c r="P35" i="1"/>
  <c r="M35" i="1"/>
  <c r="J35" i="1"/>
  <c r="M36" i="1"/>
  <c r="J36" i="1"/>
  <c r="P36" i="1"/>
  <c r="J37" i="1"/>
  <c r="M37" i="1"/>
  <c r="J38" i="1"/>
  <c r="M38" i="1"/>
  <c r="P40" i="1"/>
  <c r="M40" i="1"/>
  <c r="J40" i="1"/>
  <c r="P41" i="1"/>
  <c r="J41" i="1"/>
  <c r="P43" i="1"/>
  <c r="M43" i="1"/>
  <c r="J43" i="1"/>
  <c r="M44" i="1"/>
  <c r="J44" i="1"/>
  <c r="P44" i="1"/>
  <c r="J45" i="1"/>
  <c r="M45" i="1"/>
  <c r="J46" i="1"/>
  <c r="M46" i="1"/>
  <c r="P48" i="1"/>
  <c r="M48" i="1"/>
  <c r="J48" i="1"/>
  <c r="P49" i="1"/>
  <c r="J49" i="1"/>
  <c r="P51" i="1"/>
  <c r="M51" i="1"/>
  <c r="J51" i="1"/>
  <c r="M52" i="1"/>
  <c r="J52" i="1"/>
  <c r="P52" i="1"/>
  <c r="J53" i="1"/>
  <c r="M53" i="1"/>
  <c r="J54" i="1"/>
  <c r="M54" i="1"/>
  <c r="P56" i="1"/>
  <c r="M56" i="1"/>
  <c r="J56" i="1"/>
  <c r="P57" i="1"/>
  <c r="J57" i="1"/>
  <c r="P59" i="1"/>
  <c r="M59" i="1"/>
  <c r="J59" i="1"/>
  <c r="M60" i="1"/>
  <c r="J60" i="1"/>
  <c r="P60" i="1"/>
  <c r="J61" i="1"/>
  <c r="M61" i="1"/>
  <c r="J62" i="1"/>
  <c r="M62" i="1"/>
  <c r="P64" i="1"/>
  <c r="M64" i="1"/>
  <c r="J64" i="1"/>
  <c r="P65" i="1"/>
  <c r="J65" i="1"/>
  <c r="J68" i="1"/>
  <c r="P68" i="1"/>
  <c r="M68" i="1"/>
  <c r="P69" i="1"/>
  <c r="M69" i="1"/>
  <c r="J69" i="1"/>
  <c r="J71" i="1"/>
  <c r="P71" i="1"/>
  <c r="M71" i="1"/>
  <c r="P74" i="1"/>
  <c r="M74" i="1"/>
  <c r="J74" i="1"/>
  <c r="M76" i="1"/>
  <c r="M77" i="1"/>
  <c r="J77" i="1"/>
  <c r="J79" i="1"/>
  <c r="P79" i="1"/>
  <c r="M79" i="1"/>
  <c r="P82" i="1"/>
  <c r="M82" i="1"/>
  <c r="J82" i="1"/>
  <c r="J84" i="1"/>
  <c r="P84" i="1"/>
  <c r="M84" i="1"/>
  <c r="P85" i="1"/>
  <c r="M85" i="1"/>
  <c r="J85" i="1"/>
  <c r="J87" i="1"/>
  <c r="P87" i="1"/>
  <c r="M87" i="1"/>
  <c r="P90" i="1"/>
  <c r="M90" i="1"/>
  <c r="J90" i="1"/>
  <c r="J92" i="1"/>
  <c r="M92" i="1"/>
  <c r="M93" i="1"/>
  <c r="J93" i="1"/>
  <c r="P93" i="1"/>
  <c r="J95" i="1"/>
  <c r="P95" i="1"/>
  <c r="M95" i="1"/>
  <c r="P98" i="1"/>
  <c r="M98" i="1"/>
  <c r="J98" i="1"/>
  <c r="M101" i="1"/>
  <c r="J101" i="1"/>
  <c r="P101" i="1"/>
  <c r="J102" i="1"/>
  <c r="P103" i="1"/>
  <c r="M103" i="1"/>
  <c r="P104" i="1"/>
  <c r="M104" i="1"/>
  <c r="M109" i="1"/>
  <c r="J109" i="1"/>
  <c r="M110" i="1"/>
  <c r="J110" i="1"/>
  <c r="P111" i="1"/>
  <c r="M111" i="1"/>
  <c r="M112" i="1"/>
  <c r="M117" i="1"/>
  <c r="J117" i="1"/>
  <c r="J118" i="1"/>
  <c r="P119" i="1"/>
  <c r="M119" i="1"/>
  <c r="M120" i="1"/>
  <c r="M125" i="1"/>
  <c r="J125" i="1"/>
  <c r="J126" i="1"/>
  <c r="P127" i="1"/>
  <c r="M127" i="1"/>
  <c r="J127" i="1"/>
  <c r="M128" i="1"/>
  <c r="P130" i="1"/>
  <c r="M133" i="1"/>
  <c r="J133" i="1"/>
  <c r="J134" i="1"/>
  <c r="P134" i="1"/>
  <c r="P135" i="1"/>
  <c r="M135" i="1"/>
  <c r="J135" i="1"/>
  <c r="P136" i="1"/>
  <c r="M136" i="1"/>
  <c r="M141" i="1"/>
  <c r="J141" i="1"/>
  <c r="M142" i="1"/>
  <c r="J142" i="1"/>
  <c r="P142" i="1"/>
  <c r="P143" i="1"/>
  <c r="M143" i="1"/>
  <c r="J143" i="1"/>
  <c r="M144" i="1"/>
  <c r="M149" i="1"/>
  <c r="J149" i="1"/>
  <c r="J150" i="1"/>
  <c r="P150" i="1"/>
  <c r="P151" i="1"/>
  <c r="M151" i="1"/>
  <c r="J151" i="1"/>
  <c r="M152" i="1"/>
  <c r="M157" i="1"/>
  <c r="J157" i="1"/>
  <c r="J158" i="1"/>
  <c r="P158" i="1"/>
  <c r="P159" i="1"/>
  <c r="M159" i="1"/>
  <c r="J159" i="1"/>
  <c r="M160" i="1"/>
  <c r="P162" i="1"/>
  <c r="M165" i="1"/>
  <c r="J165" i="1"/>
  <c r="J166" i="1"/>
  <c r="P166" i="1"/>
  <c r="P167" i="1"/>
  <c r="M167" i="1"/>
  <c r="J167" i="1"/>
  <c r="M168" i="1"/>
  <c r="J168" i="1"/>
  <c r="P168" i="1"/>
  <c r="P169" i="1"/>
  <c r="J169" i="1"/>
  <c r="J171" i="1"/>
  <c r="M172" i="1"/>
  <c r="J172" i="1"/>
  <c r="P172" i="1"/>
  <c r="P173" i="1"/>
  <c r="J173" i="1"/>
  <c r="M173" i="1"/>
  <c r="J176" i="1"/>
  <c r="P176" i="1"/>
  <c r="M177" i="1"/>
  <c r="J177" i="1"/>
  <c r="P177" i="1"/>
  <c r="P180" i="1"/>
  <c r="M180" i="1"/>
  <c r="J180" i="1"/>
  <c r="P181" i="1"/>
  <c r="M181" i="1"/>
  <c r="J181" i="1"/>
  <c r="P182" i="1"/>
  <c r="M182" i="1"/>
  <c r="P184" i="1"/>
  <c r="J184" i="1"/>
  <c r="J187" i="1"/>
  <c r="P188" i="1"/>
  <c r="M188" i="1"/>
  <c r="J188" i="1"/>
  <c r="M189" i="1"/>
  <c r="M194" i="1"/>
  <c r="J194" i="1"/>
  <c r="J195" i="1"/>
  <c r="P196" i="1"/>
  <c r="M196" i="1"/>
  <c r="J196" i="1"/>
  <c r="P197" i="1"/>
  <c r="M197" i="1"/>
  <c r="M202" i="1"/>
  <c r="J202" i="1"/>
  <c r="J203" i="1"/>
  <c r="P204" i="1"/>
  <c r="M204" i="1"/>
  <c r="J204" i="1"/>
  <c r="M205" i="1"/>
  <c r="M210" i="1"/>
  <c r="J210" i="1"/>
  <c r="J211" i="1"/>
  <c r="P212" i="1"/>
  <c r="M212" i="1"/>
  <c r="J212" i="1"/>
  <c r="M213" i="1"/>
  <c r="P215" i="1"/>
  <c r="M218" i="1"/>
  <c r="J218" i="1"/>
  <c r="J219" i="1"/>
  <c r="P220" i="1"/>
  <c r="M220" i="1"/>
  <c r="J220" i="1"/>
  <c r="P221" i="1"/>
  <c r="M221" i="1"/>
  <c r="M226" i="1"/>
  <c r="J226" i="1"/>
  <c r="M227" i="1"/>
  <c r="J227" i="1"/>
  <c r="P228" i="1"/>
  <c r="M228" i="1"/>
  <c r="J228" i="1"/>
  <c r="M229" i="1"/>
  <c r="M234" i="1"/>
  <c r="J234" i="1"/>
  <c r="J235" i="1"/>
  <c r="P236" i="1"/>
  <c r="M236" i="1"/>
  <c r="J236" i="1"/>
  <c r="M237" i="1"/>
  <c r="M242" i="1"/>
  <c r="J242" i="1"/>
  <c r="J243" i="1"/>
  <c r="P243" i="1"/>
  <c r="P244" i="1"/>
  <c r="M244" i="1"/>
  <c r="J244" i="1"/>
  <c r="M245" i="1"/>
  <c r="P247" i="1"/>
  <c r="M250" i="1"/>
  <c r="J250" i="1"/>
  <c r="J254" i="1"/>
  <c r="M256" i="1"/>
  <c r="J256" i="1"/>
  <c r="P258" i="1"/>
  <c r="M258" i="1"/>
  <c r="J258" i="1"/>
  <c r="M259" i="1"/>
  <c r="J259" i="1"/>
  <c r="P260" i="1"/>
  <c r="M260" i="1"/>
  <c r="P261" i="1"/>
  <c r="M261" i="1"/>
  <c r="M264" i="1"/>
  <c r="J265" i="1"/>
  <c r="P266" i="1"/>
  <c r="M266" i="1"/>
  <c r="J266" i="1"/>
  <c r="J267" i="1"/>
  <c r="J269" i="1"/>
  <c r="M269" i="1"/>
  <c r="P269" i="1"/>
  <c r="P270" i="1"/>
  <c r="J270" i="1"/>
  <c r="M274" i="1"/>
  <c r="J274" i="1"/>
  <c r="P274" i="1"/>
  <c r="M275" i="1"/>
  <c r="P276" i="1"/>
  <c r="M276" i="1"/>
  <c r="P277" i="1"/>
  <c r="J278" i="1"/>
  <c r="P280" i="1"/>
  <c r="M280" i="1"/>
  <c r="J280" i="1"/>
  <c r="P282" i="1"/>
  <c r="M282" i="1"/>
  <c r="J282" i="1"/>
  <c r="M283" i="1"/>
  <c r="J283" i="1"/>
  <c r="M285" i="1"/>
  <c r="P286" i="1"/>
  <c r="J286" i="1"/>
  <c r="J289" i="1"/>
  <c r="P290" i="1"/>
  <c r="M290" i="1"/>
  <c r="J290" i="1"/>
  <c r="J291" i="1"/>
  <c r="M291" i="1"/>
  <c r="P292" i="1"/>
  <c r="M292" i="1"/>
  <c r="M293" i="1"/>
  <c r="P293" i="1"/>
  <c r="M294" i="1"/>
  <c r="P294" i="1"/>
  <c r="J294" i="1"/>
  <c r="M296" i="1"/>
  <c r="J297" i="1"/>
  <c r="M298" i="1"/>
  <c r="J298" i="1"/>
  <c r="P298" i="1"/>
  <c r="J299" i="1"/>
  <c r="P301" i="1"/>
  <c r="M301" i="1"/>
  <c r="M304" i="1"/>
  <c r="J304" i="1"/>
  <c r="M306" i="1"/>
  <c r="J306" i="1"/>
  <c r="P306" i="1"/>
  <c r="J307" i="1"/>
  <c r="M307" i="1"/>
  <c r="M309" i="1"/>
  <c r="P309" i="1"/>
  <c r="P311" i="1"/>
  <c r="M312" i="1"/>
  <c r="M314" i="1"/>
  <c r="J314" i="1"/>
  <c r="P314" i="1"/>
  <c r="M315" i="1"/>
  <c r="M317" i="1"/>
  <c r="P317" i="1"/>
  <c r="J318" i="1"/>
  <c r="M320" i="1"/>
  <c r="P322" i="1"/>
  <c r="M322" i="1"/>
  <c r="J322" i="1"/>
  <c r="M323" i="1"/>
  <c r="J323" i="1"/>
  <c r="J325" i="1"/>
  <c r="P325" i="1"/>
  <c r="J326" i="1"/>
  <c r="M328" i="1"/>
  <c r="P330" i="1"/>
  <c r="M330" i="1"/>
  <c r="J330" i="1"/>
  <c r="M331" i="1"/>
  <c r="J331" i="1"/>
  <c r="J333" i="1"/>
  <c r="P333" i="1"/>
  <c r="M336" i="1"/>
  <c r="J336" i="1"/>
  <c r="P338" i="1"/>
  <c r="M338" i="1"/>
  <c r="J338" i="1"/>
  <c r="M339" i="1"/>
  <c r="P341" i="1"/>
  <c r="M341" i="1"/>
  <c r="J341" i="1"/>
  <c r="M344" i="1"/>
  <c r="J344" i="1"/>
  <c r="P346" i="1"/>
  <c r="M346" i="1"/>
  <c r="J346" i="1"/>
  <c r="M347" i="1"/>
  <c r="J349" i="1"/>
  <c r="P349" i="1"/>
  <c r="M352" i="1"/>
  <c r="J352" i="1"/>
  <c r="J353" i="1"/>
  <c r="P354" i="1"/>
  <c r="M354" i="1"/>
  <c r="J354" i="1"/>
  <c r="M355" i="1"/>
  <c r="J355" i="1"/>
  <c r="J357" i="1"/>
  <c r="P357" i="1"/>
  <c r="M360" i="1"/>
  <c r="J360" i="1"/>
  <c r="J361" i="1"/>
  <c r="P362" i="1"/>
  <c r="M362" i="1"/>
  <c r="J362" i="1"/>
  <c r="M363" i="1"/>
  <c r="J363" i="1"/>
  <c r="J365" i="1"/>
  <c r="P365" i="1"/>
  <c r="M368" i="1"/>
  <c r="J368" i="1"/>
  <c r="P370" i="1"/>
  <c r="M370" i="1"/>
  <c r="J370" i="1"/>
  <c r="M371" i="1"/>
  <c r="P373" i="1"/>
  <c r="M373" i="1"/>
  <c r="J373" i="1"/>
  <c r="M376" i="1"/>
  <c r="J376" i="1"/>
  <c r="P378" i="1"/>
  <c r="M378" i="1"/>
  <c r="J378" i="1"/>
  <c r="M379" i="1"/>
  <c r="J381" i="1"/>
  <c r="P381" i="1"/>
  <c r="M384" i="1"/>
  <c r="J384" i="1"/>
  <c r="J385" i="1"/>
  <c r="P124" i="1"/>
  <c r="M124" i="1"/>
  <c r="P105" i="1"/>
  <c r="M105" i="1"/>
  <c r="J105" i="1"/>
  <c r="P137" i="1"/>
  <c r="M137" i="1"/>
  <c r="J137" i="1"/>
  <c r="J175" i="1"/>
  <c r="P175" i="1"/>
  <c r="M175" i="1"/>
  <c r="P209" i="1"/>
  <c r="M209" i="1"/>
  <c r="J209" i="1"/>
  <c r="P7" i="1"/>
  <c r="P15" i="1"/>
  <c r="P23" i="1"/>
  <c r="P31" i="1"/>
  <c r="P39" i="1"/>
  <c r="P47" i="1"/>
  <c r="P55" i="1"/>
  <c r="P63" i="1"/>
  <c r="M114" i="1"/>
  <c r="J114" i="1"/>
  <c r="P116" i="1"/>
  <c r="M116" i="1"/>
  <c r="M146" i="1"/>
  <c r="J146" i="1"/>
  <c r="P148" i="1"/>
  <c r="M148" i="1"/>
  <c r="P170" i="1"/>
  <c r="M170" i="1"/>
  <c r="J170" i="1"/>
  <c r="J174" i="1"/>
  <c r="P174" i="1"/>
  <c r="M198" i="1"/>
  <c r="J198" i="1"/>
  <c r="P198" i="1"/>
  <c r="M94" i="1"/>
  <c r="J94" i="1"/>
  <c r="M122" i="1"/>
  <c r="J122" i="1"/>
  <c r="M154" i="1"/>
  <c r="J154" i="1"/>
  <c r="P241" i="1"/>
  <c r="M241" i="1"/>
  <c r="J241" i="1"/>
  <c r="J2" i="1"/>
  <c r="P6" i="1"/>
  <c r="J10" i="1"/>
  <c r="P14" i="1"/>
  <c r="J18" i="1"/>
  <c r="P22" i="1"/>
  <c r="J26" i="1"/>
  <c r="P30" i="1"/>
  <c r="J34" i="1"/>
  <c r="P38" i="1"/>
  <c r="J42" i="1"/>
  <c r="P46" i="1"/>
  <c r="J50" i="1"/>
  <c r="P54" i="1"/>
  <c r="J58" i="1"/>
  <c r="P62" i="1"/>
  <c r="J66" i="1"/>
  <c r="P72" i="1"/>
  <c r="M72" i="1"/>
  <c r="P75" i="1"/>
  <c r="M75" i="1"/>
  <c r="P88" i="1"/>
  <c r="M88" i="1"/>
  <c r="P91" i="1"/>
  <c r="M91" i="1"/>
  <c r="P113" i="1"/>
  <c r="M113" i="1"/>
  <c r="J113" i="1"/>
  <c r="P145" i="1"/>
  <c r="M145" i="1"/>
  <c r="J145" i="1"/>
  <c r="M207" i="1"/>
  <c r="J207" i="1"/>
  <c r="P207" i="1"/>
  <c r="M239" i="1"/>
  <c r="J239" i="1"/>
  <c r="P239" i="1"/>
  <c r="P97" i="1"/>
  <c r="M97" i="1"/>
  <c r="J97" i="1"/>
  <c r="P383" i="1"/>
  <c r="M383" i="1"/>
  <c r="J383" i="1"/>
  <c r="M2" i="1"/>
  <c r="M18" i="1"/>
  <c r="M66" i="1"/>
  <c r="P121" i="1"/>
  <c r="M121" i="1"/>
  <c r="J121" i="1"/>
  <c r="J7" i="1"/>
  <c r="M9" i="1"/>
  <c r="J15" i="1"/>
  <c r="M17" i="1"/>
  <c r="J23" i="1"/>
  <c r="M25" i="1"/>
  <c r="J31" i="1"/>
  <c r="M33" i="1"/>
  <c r="J39" i="1"/>
  <c r="M41" i="1"/>
  <c r="J47" i="1"/>
  <c r="M49" i="1"/>
  <c r="J55" i="1"/>
  <c r="M57" i="1"/>
  <c r="J63" i="1"/>
  <c r="M65" i="1"/>
  <c r="P77" i="1"/>
  <c r="P100" i="1"/>
  <c r="M100" i="1"/>
  <c r="P114" i="1"/>
  <c r="J124" i="1"/>
  <c r="M130" i="1"/>
  <c r="J130" i="1"/>
  <c r="P132" i="1"/>
  <c r="M132" i="1"/>
  <c r="P146" i="1"/>
  <c r="M162" i="1"/>
  <c r="J162" i="1"/>
  <c r="P164" i="1"/>
  <c r="M164" i="1"/>
  <c r="P186" i="1"/>
  <c r="M186" i="1"/>
  <c r="P200" i="1"/>
  <c r="M200" i="1"/>
  <c r="J200" i="1"/>
  <c r="P273" i="1"/>
  <c r="M273" i="1"/>
  <c r="J273" i="1"/>
  <c r="M78" i="1"/>
  <c r="J78" i="1"/>
  <c r="P156" i="1"/>
  <c r="M156" i="1"/>
  <c r="P153" i="1"/>
  <c r="M153" i="1"/>
  <c r="J153" i="1"/>
  <c r="P222" i="1"/>
  <c r="M222" i="1"/>
  <c r="J222" i="1"/>
  <c r="P10" i="1"/>
  <c r="P26" i="1"/>
  <c r="P34" i="1"/>
  <c r="P42" i="1"/>
  <c r="P50" i="1"/>
  <c r="P58" i="1"/>
  <c r="P67" i="1"/>
  <c r="M67" i="1"/>
  <c r="P80" i="1"/>
  <c r="M80" i="1"/>
  <c r="P83" i="1"/>
  <c r="M83" i="1"/>
  <c r="P96" i="1"/>
  <c r="M96" i="1"/>
  <c r="P129" i="1"/>
  <c r="M129" i="1"/>
  <c r="J129" i="1"/>
  <c r="P161" i="1"/>
  <c r="M161" i="1"/>
  <c r="J161" i="1"/>
  <c r="P185" i="1"/>
  <c r="M185" i="1"/>
  <c r="J185" i="1"/>
  <c r="M262" i="1"/>
  <c r="J262" i="1"/>
  <c r="P262" i="1"/>
  <c r="M81" i="1"/>
  <c r="J81" i="1"/>
  <c r="P281" i="1"/>
  <c r="M281" i="1"/>
  <c r="J281" i="1"/>
  <c r="M70" i="1"/>
  <c r="J70" i="1"/>
  <c r="M73" i="1"/>
  <c r="J73" i="1"/>
  <c r="J76" i="1"/>
  <c r="P78" i="1"/>
  <c r="P81" i="1"/>
  <c r="M86" i="1"/>
  <c r="J86" i="1"/>
  <c r="M89" i="1"/>
  <c r="J89" i="1"/>
  <c r="P94" i="1"/>
  <c r="M106" i="1"/>
  <c r="J106" i="1"/>
  <c r="P108" i="1"/>
  <c r="M108" i="1"/>
  <c r="P122" i="1"/>
  <c r="M138" i="1"/>
  <c r="J138" i="1"/>
  <c r="P140" i="1"/>
  <c r="M140" i="1"/>
  <c r="P154" i="1"/>
  <c r="P179" i="1"/>
  <c r="M179" i="1"/>
  <c r="J179" i="1"/>
  <c r="J186" i="1"/>
  <c r="M199" i="1"/>
  <c r="J199" i="1"/>
  <c r="P199" i="1"/>
  <c r="P201" i="1"/>
  <c r="M201" i="1"/>
  <c r="M231" i="1"/>
  <c r="J231" i="1"/>
  <c r="P233" i="1"/>
  <c r="M233" i="1"/>
  <c r="M295" i="1"/>
  <c r="J295" i="1"/>
  <c r="P295" i="1"/>
  <c r="P348" i="1"/>
  <c r="M348" i="1"/>
  <c r="J348" i="1"/>
  <c r="M99" i="1"/>
  <c r="M107" i="1"/>
  <c r="P109" i="1"/>
  <c r="M115" i="1"/>
  <c r="P117" i="1"/>
  <c r="M123" i="1"/>
  <c r="P125" i="1"/>
  <c r="M131" i="1"/>
  <c r="P133" i="1"/>
  <c r="M139" i="1"/>
  <c r="P141" i="1"/>
  <c r="M147" i="1"/>
  <c r="P149" i="1"/>
  <c r="M155" i="1"/>
  <c r="P157" i="1"/>
  <c r="M163" i="1"/>
  <c r="P165" i="1"/>
  <c r="P171" i="1"/>
  <c r="M176" i="1"/>
  <c r="M178" i="1"/>
  <c r="P183" i="1"/>
  <c r="P230" i="1"/>
  <c r="M230" i="1"/>
  <c r="J230" i="1"/>
  <c r="P288" i="1"/>
  <c r="M288" i="1"/>
  <c r="J288" i="1"/>
  <c r="P99" i="1"/>
  <c r="J103" i="1"/>
  <c r="P107" i="1"/>
  <c r="J111" i="1"/>
  <c r="P115" i="1"/>
  <c r="J119" i="1"/>
  <c r="P123" i="1"/>
  <c r="P131" i="1"/>
  <c r="P139" i="1"/>
  <c r="P147" i="1"/>
  <c r="P155" i="1"/>
  <c r="P163" i="1"/>
  <c r="M190" i="1"/>
  <c r="J190" i="1"/>
  <c r="M191" i="1"/>
  <c r="J191" i="1"/>
  <c r="P192" i="1"/>
  <c r="M192" i="1"/>
  <c r="P206" i="1"/>
  <c r="M206" i="1"/>
  <c r="J206" i="1"/>
  <c r="P238" i="1"/>
  <c r="M238" i="1"/>
  <c r="J238" i="1"/>
  <c r="J253" i="1"/>
  <c r="P253" i="1"/>
  <c r="M253" i="1"/>
  <c r="M287" i="1"/>
  <c r="J287" i="1"/>
  <c r="P287" i="1"/>
  <c r="M324" i="1"/>
  <c r="J324" i="1"/>
  <c r="P324" i="1"/>
  <c r="P102" i="1"/>
  <c r="P110" i="1"/>
  <c r="P118" i="1"/>
  <c r="P126" i="1"/>
  <c r="J182" i="1"/>
  <c r="P193" i="1"/>
  <c r="M193" i="1"/>
  <c r="M215" i="1"/>
  <c r="J215" i="1"/>
  <c r="P217" i="1"/>
  <c r="M217" i="1"/>
  <c r="P231" i="1"/>
  <c r="M247" i="1"/>
  <c r="J247" i="1"/>
  <c r="P249" i="1"/>
  <c r="M249" i="1"/>
  <c r="J252" i="1"/>
  <c r="P252" i="1"/>
  <c r="P305" i="1"/>
  <c r="M305" i="1"/>
  <c r="J305" i="1"/>
  <c r="M319" i="1"/>
  <c r="J319" i="1"/>
  <c r="P319" i="1"/>
  <c r="P329" i="1"/>
  <c r="M329" i="1"/>
  <c r="M169" i="1"/>
  <c r="P178" i="1"/>
  <c r="M183" i="1"/>
  <c r="J183" i="1"/>
  <c r="M184" i="1"/>
  <c r="P214" i="1"/>
  <c r="M214" i="1"/>
  <c r="J214" i="1"/>
  <c r="P246" i="1"/>
  <c r="M246" i="1"/>
  <c r="J246" i="1"/>
  <c r="P250" i="1"/>
  <c r="P351" i="1"/>
  <c r="M351" i="1"/>
  <c r="J351" i="1"/>
  <c r="P356" i="1"/>
  <c r="M356" i="1"/>
  <c r="J356" i="1"/>
  <c r="P380" i="1"/>
  <c r="M380" i="1"/>
  <c r="J380" i="1"/>
  <c r="J104" i="1"/>
  <c r="J112" i="1"/>
  <c r="J120" i="1"/>
  <c r="J128" i="1"/>
  <c r="J136" i="1"/>
  <c r="J144" i="1"/>
  <c r="J152" i="1"/>
  <c r="J160" i="1"/>
  <c r="M223" i="1"/>
  <c r="J223" i="1"/>
  <c r="P225" i="1"/>
  <c r="M225" i="1"/>
  <c r="J268" i="1"/>
  <c r="M268" i="1"/>
  <c r="M327" i="1"/>
  <c r="J327" i="1"/>
  <c r="P327" i="1"/>
  <c r="J329" i="1"/>
  <c r="P194" i="1"/>
  <c r="P202" i="1"/>
  <c r="M208" i="1"/>
  <c r="P210" i="1"/>
  <c r="M216" i="1"/>
  <c r="P218" i="1"/>
  <c r="M224" i="1"/>
  <c r="P226" i="1"/>
  <c r="M232" i="1"/>
  <c r="P234" i="1"/>
  <c r="M240" i="1"/>
  <c r="P242" i="1"/>
  <c r="M248" i="1"/>
  <c r="M251" i="1"/>
  <c r="M254" i="1"/>
  <c r="J260" i="1"/>
  <c r="P271" i="1"/>
  <c r="M272" i="1"/>
  <c r="P278" i="1"/>
  <c r="P284" i="1"/>
  <c r="P289" i="1"/>
  <c r="M289" i="1"/>
  <c r="P297" i="1"/>
  <c r="M297" i="1"/>
  <c r="P300" i="1"/>
  <c r="M316" i="1"/>
  <c r="J316" i="1"/>
  <c r="P318" i="1"/>
  <c r="M318" i="1"/>
  <c r="P359" i="1"/>
  <c r="M359" i="1"/>
  <c r="J359" i="1"/>
  <c r="P208" i="1"/>
  <c r="P216" i="1"/>
  <c r="P224" i="1"/>
  <c r="P232" i="1"/>
  <c r="P240" i="1"/>
  <c r="P248" i="1"/>
  <c r="P251" i="1"/>
  <c r="M255" i="1"/>
  <c r="J255" i="1"/>
  <c r="P256" i="1"/>
  <c r="M270" i="1"/>
  <c r="J276" i="1"/>
  <c r="M308" i="1"/>
  <c r="J308" i="1"/>
  <c r="P310" i="1"/>
  <c r="M310" i="1"/>
  <c r="P321" i="1"/>
  <c r="M321" i="1"/>
  <c r="P335" i="1"/>
  <c r="M335" i="1"/>
  <c r="J335" i="1"/>
  <c r="P367" i="1"/>
  <c r="M367" i="1"/>
  <c r="J367" i="1"/>
  <c r="P187" i="1"/>
  <c r="P195" i="1"/>
  <c r="P203" i="1"/>
  <c r="P211" i="1"/>
  <c r="P219" i="1"/>
  <c r="P227" i="1"/>
  <c r="P235" i="1"/>
  <c r="M263" i="1"/>
  <c r="J263" i="1"/>
  <c r="M278" i="1"/>
  <c r="J284" i="1"/>
  <c r="M311" i="1"/>
  <c r="J311" i="1"/>
  <c r="P332" i="1"/>
  <c r="M332" i="1"/>
  <c r="J332" i="1"/>
  <c r="P364" i="1"/>
  <c r="M364" i="1"/>
  <c r="J364" i="1"/>
  <c r="P257" i="1"/>
  <c r="M257" i="1"/>
  <c r="M271" i="1"/>
  <c r="J271" i="1"/>
  <c r="P272" i="1"/>
  <c r="M286" i="1"/>
  <c r="J292" i="1"/>
  <c r="M300" i="1"/>
  <c r="J300" i="1"/>
  <c r="P302" i="1"/>
  <c r="M302" i="1"/>
  <c r="J310" i="1"/>
  <c r="P313" i="1"/>
  <c r="M313" i="1"/>
  <c r="P316" i="1"/>
  <c r="J321" i="1"/>
  <c r="P343" i="1"/>
  <c r="M343" i="1"/>
  <c r="J343" i="1"/>
  <c r="P375" i="1"/>
  <c r="M375" i="1"/>
  <c r="J375" i="1"/>
  <c r="J189" i="1"/>
  <c r="J197" i="1"/>
  <c r="J205" i="1"/>
  <c r="J213" i="1"/>
  <c r="J221" i="1"/>
  <c r="J229" i="1"/>
  <c r="J237" i="1"/>
  <c r="J245" i="1"/>
  <c r="J264" i="1"/>
  <c r="P265" i="1"/>
  <c r="M265" i="1"/>
  <c r="M279" i="1"/>
  <c r="J279" i="1"/>
  <c r="M303" i="1"/>
  <c r="J303" i="1"/>
  <c r="P340" i="1"/>
  <c r="M340" i="1"/>
  <c r="J340" i="1"/>
  <c r="P372" i="1"/>
  <c r="M372" i="1"/>
  <c r="J372" i="1"/>
  <c r="P296" i="1"/>
  <c r="P304" i="1"/>
  <c r="P312" i="1"/>
  <c r="P320" i="1"/>
  <c r="M326" i="1"/>
  <c r="P328" i="1"/>
  <c r="M334" i="1"/>
  <c r="P336" i="1"/>
  <c r="M342" i="1"/>
  <c r="P344" i="1"/>
  <c r="M350" i="1"/>
  <c r="P352" i="1"/>
  <c r="M358" i="1"/>
  <c r="P360" i="1"/>
  <c r="M366" i="1"/>
  <c r="P368" i="1"/>
  <c r="M374" i="1"/>
  <c r="P376" i="1"/>
  <c r="M382" i="1"/>
  <c r="P384" i="1"/>
  <c r="P259" i="1"/>
  <c r="P267" i="1"/>
  <c r="P275" i="1"/>
  <c r="P283" i="1"/>
  <c r="P291" i="1"/>
  <c r="P299" i="1"/>
  <c r="P307" i="1"/>
  <c r="P315" i="1"/>
  <c r="P323" i="1"/>
  <c r="P331" i="1"/>
  <c r="M337" i="1"/>
  <c r="P339" i="1"/>
  <c r="M345" i="1"/>
  <c r="P347" i="1"/>
  <c r="M353" i="1"/>
  <c r="P355" i="1"/>
  <c r="M361" i="1"/>
  <c r="P363" i="1"/>
  <c r="M369" i="1"/>
  <c r="P371" i="1"/>
  <c r="M377" i="1"/>
  <c r="P379" i="1"/>
  <c r="M385" i="1"/>
  <c r="P326" i="1"/>
  <c r="P334" i="1"/>
  <c r="P342" i="1"/>
  <c r="P350" i="1"/>
  <c r="P358" i="1"/>
  <c r="P366" i="1"/>
  <c r="P374" i="1"/>
  <c r="P382" i="1"/>
  <c r="J261" i="1"/>
  <c r="J277" i="1"/>
  <c r="J285" i="1"/>
  <c r="J293" i="1"/>
  <c r="J301" i="1"/>
  <c r="J309" i="1"/>
  <c r="J317" i="1"/>
  <c r="P337" i="1"/>
  <c r="P345" i="1"/>
  <c r="P353" i="1"/>
  <c r="P361" i="1"/>
  <c r="P369" i="1"/>
  <c r="P377" i="1"/>
  <c r="P385" i="1"/>
</calcChain>
</file>

<file path=xl/sharedStrings.xml><?xml version="1.0" encoding="utf-8"?>
<sst xmlns="http://schemas.openxmlformats.org/spreadsheetml/2006/main" count="5378" uniqueCount="837">
  <si>
    <t>University</t>
  </si>
  <si>
    <t>Major</t>
  </si>
  <si>
    <t>English Medium</t>
  </si>
  <si>
    <t>Korean Medium</t>
  </si>
  <si>
    <t>Degree Type</t>
  </si>
  <si>
    <t>Tuition Fee (KRW)</t>
  </si>
  <si>
    <t>Tuition Fee (LKR)</t>
  </si>
  <si>
    <t>Dorm Double (KRW)</t>
  </si>
  <si>
    <t>Dorm Double (LKR)</t>
  </si>
  <si>
    <t>Dorm Single (KRW)</t>
  </si>
  <si>
    <t>Dorm Single (LKR)</t>
  </si>
  <si>
    <t>Total with Dorm Double (LKR)</t>
  </si>
  <si>
    <t>Total with Dorm Single (LKR)</t>
  </si>
  <si>
    <t>Chungwoon University</t>
  </si>
  <si>
    <t>Acting</t>
  </si>
  <si>
    <t>No</t>
  </si>
  <si>
    <t>Yes</t>
  </si>
  <si>
    <t>Bachelor</t>
  </si>
  <si>
    <t>Musical</t>
  </si>
  <si>
    <t>Music Trainer (Instrumental)</t>
  </si>
  <si>
    <t>Music Trainer (Vocal/Rap)</t>
  </si>
  <si>
    <t>Music Trainer (MIDI / Computer Music)</t>
  </si>
  <si>
    <t>Performing Arts Planning &amp; Management</t>
  </si>
  <si>
    <t>Broadcasting &amp; Film</t>
  </si>
  <si>
    <t>Media Communication</t>
  </si>
  <si>
    <t>Hotel Tourism Management</t>
  </si>
  <si>
    <t>Hotel Culinary &amp; Catering Management</t>
  </si>
  <si>
    <t>Airline Service Management</t>
  </si>
  <si>
    <t>Space Design</t>
  </si>
  <si>
    <t>Fashion Design</t>
  </si>
  <si>
    <t>Liberal Studies</t>
  </si>
  <si>
    <t>Sports Science</t>
  </si>
  <si>
    <t>Human Nutrition &amp; Food Science</t>
  </si>
  <si>
    <t>Social Welfare</t>
  </si>
  <si>
    <t>Architectural Engineering</t>
  </si>
  <si>
    <t>Building Services Engineering &amp; Fire Protection Systems</t>
  </si>
  <si>
    <t>Civil &amp; Environmental Engineering</t>
  </si>
  <si>
    <t>Electronics Engineering</t>
  </si>
  <si>
    <t>Computer Engineering</t>
  </si>
  <si>
    <t>Multimedia Science</t>
  </si>
  <si>
    <t>Chemical Engineering</t>
  </si>
  <si>
    <t>Business Administration</t>
  </si>
  <si>
    <t>Global Trade &amp; Logistics</t>
  </si>
  <si>
    <t>Advertising &amp; Public Relations</t>
  </si>
  <si>
    <t>Department of Future Convergence Autonomous Major</t>
  </si>
  <si>
    <t>Department of Cultural Management</t>
  </si>
  <si>
    <t>K-POP Department</t>
  </si>
  <si>
    <t>Global Korean Studies</t>
  </si>
  <si>
    <t>Department of Service Management</t>
  </si>
  <si>
    <t>Social e-Business Entrepreneurship Department</t>
  </si>
  <si>
    <t>Master</t>
  </si>
  <si>
    <t>Performing Arts</t>
  </si>
  <si>
    <t>Applied Music</t>
  </si>
  <si>
    <t>Department of Regional Development and Space Design</t>
  </si>
  <si>
    <t>Culture and Arts Management (MICE)</t>
  </si>
  <si>
    <t>Department of Fashion Design</t>
  </si>
  <si>
    <t>Tourism Management</t>
  </si>
  <si>
    <t>Social Welfare Counseling</t>
  </si>
  <si>
    <t>Department of Beauty Industry</t>
  </si>
  <si>
    <t>Global Korean Language and Culture Education</t>
  </si>
  <si>
    <t>Department of Youth Counseling Education</t>
  </si>
  <si>
    <t>Urban Development &amp; Architectural Engineering &amp; Real Estate</t>
  </si>
  <si>
    <t>Department of Electronic Engineering</t>
  </si>
  <si>
    <t>Facility Fire</t>
  </si>
  <si>
    <t>Department of Medical Materials Design and Media</t>
  </si>
  <si>
    <t>PhD</t>
  </si>
  <si>
    <t>Department of Biofood Technology Precision Nutrition</t>
  </si>
  <si>
    <t>Department of Medical Sports, Culture, Arts, and Tourism</t>
  </si>
  <si>
    <t>Department of Digital Care Nursing and Social Welfare</t>
  </si>
  <si>
    <t>Department of Smart City Planning, Design and Architecture</t>
  </si>
  <si>
    <t>Dorm Option 1 (USD approx)</t>
  </si>
  <si>
    <t>Dorm Option 1 (LKR approx)</t>
  </si>
  <si>
    <t>Total with Dorm Option 1 (LKR approx)</t>
  </si>
  <si>
    <t>Dorm Option 2 (USD approx)</t>
  </si>
  <si>
    <t>Dorm Option 2 (LKR approx)</t>
  </si>
  <si>
    <t>Total with Dorm Option 2 (LKR approx)</t>
  </si>
  <si>
    <t>Dorm Option 3 (USD approx)</t>
  </si>
  <si>
    <t>Dorm Option 3 (LKR approx)</t>
  </si>
  <si>
    <t>Total with Dorm Option 3 (LKR approx)</t>
  </si>
  <si>
    <t>Jeonbuk National University (JBNU)</t>
  </si>
  <si>
    <t>Global Commerce</t>
  </si>
  <si>
    <t>Korean Language</t>
  </si>
  <si>
    <t>K-entertainment</t>
  </si>
  <si>
    <t>Major of Engineering and Science</t>
  </si>
  <si>
    <t>International Studies Major</t>
  </si>
  <si>
    <t>Department of
Architectural Engineering</t>
  </si>
  <si>
    <t>Department of Polymer-Nano Science
&amp; Technology</t>
  </si>
  <si>
    <t>Department of Organic Materials and
Textile Engineering</t>
  </si>
  <si>
    <t>Department of Mechanical Engineering</t>
  </si>
  <si>
    <t>Division of Mechanical Design
Engineering (Major of Mechanical
Design Engineering)</t>
  </si>
  <si>
    <t>Division of Mechanical Design
Engineering (Major of Nano-bio
Mechanical System Engineering)</t>
  </si>
  <si>
    <t>Division of Mechanical System
Engineering</t>
  </si>
  <si>
    <t>Department of Urban Engineering</t>
  </si>
  <si>
    <t>Division of Biomedical Engineering</t>
  </si>
  <si>
    <t>Department of Industrial and
Information Systems Engineering</t>
  </si>
  <si>
    <t>Department of Software Engineering</t>
  </si>
  <si>
    <t>Division of Advanced Materials
Engineering (Major of Metallurgical
System Engineering)</t>
  </si>
  <si>
    <t>Division of Advanced Materials
Engineering (Major of Electronic
Materials Engineering)</t>
  </si>
  <si>
    <t>Division of Convergence Technology
Engineering(Major of IT Convergence
Mechatronics Engineering</t>
  </si>
  <si>
    <t>Division of Convergence Technology
Engineering (Major of IT Applied
System Engineering)</t>
  </si>
  <si>
    <t>Department of Electrical Engineering</t>
  </si>
  <si>
    <t>Division of Civil/Environmental/Mineral
Resources and Energy Engineering
(Major of Mineral Resources and
Energy Engineering)</t>
  </si>
  <si>
    <t>Division of Civil/Environmental/Mineral
Resources and Energy Engineering
(Major of Civil Engineering)</t>
  </si>
  <si>
    <t>Division of Civil/Environmental/Mineral
Resources and Energy Engineering
(Major of Environmental Engineering)</t>
  </si>
  <si>
    <t>Division of Chemical Engineering</t>
  </si>
  <si>
    <t>Division of Electronic Engineering</t>
  </si>
  <si>
    <t>Department of Computer Science &amp;
Artificial Intelligence</t>
  </si>
  <si>
    <t>Quantum System Engineering</t>
  </si>
  <si>
    <t>Division of Advanced Materials
Engineering (Major of Information
Materials Engineering)</t>
  </si>
  <si>
    <t>Department of Aerospace Engineering</t>
  </si>
  <si>
    <t>Department of Business
Administration</t>
  </si>
  <si>
    <t>Division of Economics</t>
  </si>
  <si>
    <t>Department of International Trade</t>
  </si>
  <si>
    <t>Department of Accounting</t>
  </si>
  <si>
    <t>Division of Agricultural Economics
and Food Marketing (Department of
Agricultural Economics)</t>
  </si>
  <si>
    <t>Department of Animal Biotechnology</t>
  </si>
  <si>
    <t>Department of Animal Science</t>
  </si>
  <si>
    <t>Department of Wood Science &amp;
Technology</t>
  </si>
  <si>
    <t>Department of Forest Environmental
Science</t>
  </si>
  <si>
    <t>Department of Bioindustrial Machinery
Engineering</t>
  </si>
  <si>
    <t>Department of Bioenvironmental
Chemistry</t>
  </si>
  <si>
    <t>Department of Food Science &amp;
Technology</t>
  </si>
  <si>
    <t>Department of Horticulture</t>
  </si>
  <si>
    <t>Department of Crop Science and
Biotechnology</t>
  </si>
  <si>
    <t>Department of Landscape Architecture</t>
  </si>
  <si>
    <t>Department of Rural Construction
Engineering</t>
  </si>
  <si>
    <t>Department of English Education</t>
  </si>
  <si>
    <t>Divsion of Public Science</t>
  </si>
  <si>
    <t>Department of Social Welfare</t>
  </si>
  <si>
    <t>Department of Sociology</t>
  </si>
  <si>
    <t>Department of Media and
Communication Studies</t>
  </si>
  <si>
    <t>Department of Psychology</t>
  </si>
  <si>
    <t>Department of Political Science &amp;
Diplomacy</t>
  </si>
  <si>
    <t>Department of Public Administration</t>
  </si>
  <si>
    <t>Department of Food Science and
Human Nutrition</t>
  </si>
  <si>
    <t>Department of Child Studies</t>
  </si>
  <si>
    <t>Fashion</t>
  </si>
  <si>
    <t>Department of Housing Environmental
Design</t>
  </si>
  <si>
    <t>Dance (Ballet/Dance Education
Creator)</t>
  </si>
  <si>
    <t>Dance (Korean Folk Dance)</t>
  </si>
  <si>
    <t>Dance (Contemporary Dance/
Choreography)</t>
  </si>
  <si>
    <t>Furniture Form Design</t>
  </si>
  <si>
    <t>Painting / Visual Arts</t>
  </si>
  <si>
    <t>Sculpture / Public Art</t>
  </si>
  <si>
    <t>Korean Painting</t>
  </si>
  <si>
    <t>Industrial Design(Product Design)</t>
  </si>
  <si>
    <t>Industrial Design(Visual·Media Design)</t>
  </si>
  <si>
    <t>Music(Wind·String Instruments)</t>
  </si>
  <si>
    <t>Music(Voice)</t>
  </si>
  <si>
    <t>Music(Multi-media Composition)</t>
  </si>
  <si>
    <t>Music(Piano)</t>
  </si>
  <si>
    <t>Korean Music
(Instrumental Music)</t>
  </si>
  <si>
    <t>Korean Music
(Vocal·Composition·Theory)</t>
  </si>
  <si>
    <t>Archaeology and Cultural
Anthropology</t>
  </si>
  <si>
    <t>Korean Language &amp; Literature</t>
  </si>
  <si>
    <t>German Studies</t>
  </si>
  <si>
    <t>Library and Information Science</t>
  </si>
  <si>
    <t>History</t>
  </si>
  <si>
    <t>Spanish &amp; Latin american studies</t>
  </si>
  <si>
    <t>English Language and Literature</t>
  </si>
  <si>
    <t>Japanese Studies</t>
  </si>
  <si>
    <t>Chinese Language &amp; Literature</t>
  </si>
  <si>
    <t>Philosophy</t>
  </si>
  <si>
    <t>French·African Studies</t>
  </si>
  <si>
    <t>Department of Science Studies</t>
  </si>
  <si>
    <t>Department of Molecular Biology</t>
  </si>
  <si>
    <t>Department of Mathematics</t>
  </si>
  <si>
    <t>Department of Life Sciences</t>
  </si>
  <si>
    <t>Department of Earth and
Environmental Sciences</t>
  </si>
  <si>
    <t>Department of Chemistry</t>
  </si>
  <si>
    <t>Department of Physics</t>
  </si>
  <si>
    <t>Department of Semiconductor Science
&amp; Technology</t>
  </si>
  <si>
    <t>Department of Statistics</t>
  </si>
  <si>
    <t>Sport Science</t>
  </si>
  <si>
    <t>Ecology Landscape
Architecture Design</t>
  </si>
  <si>
    <t>Major of IT Convergence
Mechatronics Engineering</t>
  </si>
  <si>
    <t>Economics</t>
  </si>
  <si>
    <t>Archaeology and Cultural Anthropology</t>
  </si>
  <si>
    <t>Education</t>
  </si>
  <si>
    <t>Korean Language Education</t>
  </si>
  <si>
    <t>Korean Language and Literature</t>
  </si>
  <si>
    <t>International Development Studies</t>
  </si>
  <si>
    <t>Records, Archives, and Information Science</t>
  </si>
  <si>
    <t>Agricultural Economics</t>
  </si>
  <si>
    <t>Combined Master-PhD</t>
  </si>
  <si>
    <t>German Studies G</t>
  </si>
  <si>
    <t>International Trade</t>
  </si>
  <si>
    <t>Intangible Heritage &amp; Information</t>
  </si>
  <si>
    <t>Law</t>
  </si>
  <si>
    <t>International Cyber Trade and Area Study</t>
  </si>
  <si>
    <t>Sociology</t>
  </si>
  <si>
    <t>Mathematics Education</t>
  </si>
  <si>
    <t>Spanish &amp; Latin American Studies</t>
  </si>
  <si>
    <t>Media and Communication Studies</t>
  </si>
  <si>
    <t>Psychology</t>
  </si>
  <si>
    <t>Child &amp; family studies</t>
  </si>
  <si>
    <t>Language and Literature Education</t>
  </si>
  <si>
    <t>English Education</t>
  </si>
  <si>
    <t>Japanese Studies J</t>
  </si>
  <si>
    <t>Political Science</t>
  </si>
  <si>
    <t>Chinese Language and Literature C</t>
  </si>
  <si>
    <t>French and African Studies</t>
  </si>
  <si>
    <t>Korean Language as a Second Language Education</t>
  </si>
  <si>
    <t>Public Administration C J</t>
  </si>
  <si>
    <t>Accounting</t>
  </si>
  <si>
    <t>Nursing</t>
  </si>
  <si>
    <t>Science Education (Physics Education)</t>
  </si>
  <si>
    <t>Science Education(Biology Education, Earth Science Education)</t>
  </si>
  <si>
    <t>Science Education(Chemistry Education)</t>
  </si>
  <si>
    <t>Science Education</t>
  </si>
  <si>
    <t>Science Studies</t>
  </si>
  <si>
    <t>Nanoscience and Technology</t>
  </si>
  <si>
    <t>Agricultural Engineering</t>
  </si>
  <si>
    <t>Agricultural Biology</t>
  </si>
  <si>
    <t>Agricultural Machinery Engineering</t>
  </si>
  <si>
    <t>Agriculture and Convergence Technology</t>
  </si>
  <si>
    <t>Agronomy</t>
  </si>
  <si>
    <t>Agriculture Chemistry</t>
  </si>
  <si>
    <t>Wood Science Technology</t>
  </si>
  <si>
    <t>Physics</t>
  </si>
  <si>
    <t>Molecular Biology</t>
  </si>
  <si>
    <t>Bioactive Materials</t>
  </si>
  <si>
    <t>Biology</t>
  </si>
  <si>
    <t>Human Ecology</t>
  </si>
  <si>
    <t>Mathematics</t>
  </si>
  <si>
    <t>Smart Agriculture</t>
  </si>
  <si>
    <t>Food science &amp; technology</t>
  </si>
  <si>
    <t>Food Science &amp; Human Nutrition</t>
  </si>
  <si>
    <t>Pharmacy</t>
  </si>
  <si>
    <t>Medical Science</t>
  </si>
  <si>
    <t>Horticulture</t>
  </si>
  <si>
    <t>Landscape Architecture</t>
  </si>
  <si>
    <t>Housing Environmental Design</t>
  </si>
  <si>
    <t>Earth and Environmental Sciences</t>
  </si>
  <si>
    <t>Animal science</t>
  </si>
  <si>
    <t>Dental Science</t>
  </si>
  <si>
    <t>Statistics</t>
  </si>
  <si>
    <t>Chemistry</t>
  </si>
  <si>
    <t>Veterinary and Animal Science</t>
  </si>
  <si>
    <t>Biotechnology</t>
  </si>
  <si>
    <t>Environmental Biotechnology</t>
  </si>
  <si>
    <t>Ecology Landscape Architecture-Design</t>
  </si>
  <si>
    <t>Bio-convergence Science</t>
  </si>
  <si>
    <t>Medicine (Those with Bachelor’s degree in Medicine)</t>
  </si>
  <si>
    <t>Dentistry</t>
  </si>
  <si>
    <t>Veterinary Medicine</t>
  </si>
  <si>
    <t>IT Applied Systems Engineering</t>
  </si>
  <si>
    <t>Architecture and Urban Engineering</t>
  </si>
  <si>
    <t>Architecture Engineering</t>
  </si>
  <si>
    <t>Metallurgical Engineering</t>
  </si>
  <si>
    <t>Mechanical Engineering</t>
  </si>
  <si>
    <t>Mechanical Design Engineering</t>
  </si>
  <si>
    <t>Mechanical System Engineering</t>
  </si>
  <si>
    <t>Mechanical-Aerospace-Electric Convergence Engineering</t>
  </si>
  <si>
    <t>Nano Convergence Engineering</t>
  </si>
  <si>
    <t>Urban Engineering</t>
  </si>
  <si>
    <t>Design and Manufacturing</t>
  </si>
  <si>
    <t>Mechatronics Engineering</t>
  </si>
  <si>
    <t>Bio·Nano System Engineering</t>
  </si>
  <si>
    <t>Bio·nano Convergence Engineering</t>
  </si>
  <si>
    <t>Semiconductor and Chemical Engineering
(Semiconductor Engineering, Chemical Engineering)</t>
  </si>
  <si>
    <t>Industrial System Engineering</t>
  </si>
  <si>
    <t>Bioprocess Engineering</t>
  </si>
  <si>
    <t>Software Engineering</t>
  </si>
  <si>
    <t>Energy Engineering</t>
  </si>
  <si>
    <t>Integrated Energy-AI</t>
  </si>
  <si>
    <t>Energy Storage·Conversion Engineering</t>
  </si>
  <si>
    <t>Fuel Cell Engineering</t>
  </si>
  <si>
    <t>Mineral Resources and Energy Engineering</t>
  </si>
  <si>
    <t>Materials Science and Engineering</t>
  </si>
  <si>
    <t>Electrical Engineering</t>
  </si>
  <si>
    <t>Electronic Engineering</t>
  </si>
  <si>
    <t>Computer Science and Engineering</t>
  </si>
  <si>
    <t>Electronic Information Materials Engineering</t>
  </si>
  <si>
    <t>Carbon Materials &amp; Fiber Engineering</t>
  </si>
  <si>
    <t>Civil Engineering</t>
  </si>
  <si>
    <t>Applied Plasma &amp; Quantum Beam Engineering</t>
  </si>
  <si>
    <t>Aerospace Engineering</t>
  </si>
  <si>
    <t>Healthcare Engineering</t>
  </si>
  <si>
    <t>Environment Engineering</t>
  </si>
  <si>
    <t>Environment and Energy</t>
  </si>
  <si>
    <t>JBNU-KIST Industry-Academia Convergence Research</t>
  </si>
  <si>
    <t>Convergence Technology Engineering</t>
  </si>
  <si>
    <t>Dance(Korean Folk Dance, Ballet
/ Dance Education Creator, Contemporary Dance / Choreography)</t>
  </si>
  <si>
    <t>Fine Arts(Korean Painting, Western Painting,
Sculpture, Furniture Design)</t>
  </si>
  <si>
    <t>Industrial Design</t>
  </si>
  <si>
    <t>Music(Wind, Strings, Compostition, Conducting, Theory)</t>
  </si>
  <si>
    <t>Physical Education</t>
  </si>
  <si>
    <t>Korean Music(Gayageum · Geomungo,
Ajaeng · Daegeum · Piri · Haegeum, Percussion, Pansori,
Composition, Theory, Arts Management)</t>
  </si>
  <si>
    <t>Dorm Option 1  (KRW)</t>
  </si>
  <si>
    <t>Dorm Per Semester (LKR approx)</t>
  </si>
  <si>
    <t>Total with Dorm (LKR approx)</t>
  </si>
  <si>
    <t>Kyungnam College of Information and Technology</t>
  </si>
  <si>
    <t>Associate Degree (2Yrs)</t>
  </si>
  <si>
    <t>Department of Electric and Hydrogen Vehicles</t>
  </si>
  <si>
    <t>Department of Chemical and Energy Engineering</t>
  </si>
  <si>
    <t>Department of Computer Science</t>
  </si>
  <si>
    <t>Department of Interior Design</t>
  </si>
  <si>
    <t>Department of Civil and Environmental Engineering</t>
  </si>
  <si>
    <t>Department of Environmental Landscape Design</t>
  </si>
  <si>
    <t>Department of Media and Image</t>
  </si>
  <si>
    <t>Department of Fire Safety Management</t>
  </si>
  <si>
    <t>Department of Footwear and Fashion</t>
  </si>
  <si>
    <t>Department of Semiconductor</t>
  </si>
  <si>
    <t>Department of Cloud System</t>
  </si>
  <si>
    <t>Department of Hair Design</t>
  </si>
  <si>
    <t>Department of K-Beauty Skin and Nails</t>
  </si>
  <si>
    <t>Department of K-Beauty Stylis</t>
  </si>
  <si>
    <t>K-Beauty Health Department</t>
  </si>
  <si>
    <t>Sports Rehabilitation Training Department</t>
  </si>
  <si>
    <t>AI Visual Design Department</t>
  </si>
  <si>
    <t>Hotel and Restaurant Culinary Arts</t>
  </si>
  <si>
    <t>Hotel and Bakery Arts</t>
  </si>
  <si>
    <t>Associate Degree (3Yrs)</t>
  </si>
  <si>
    <t>Pet Sciences</t>
  </si>
  <si>
    <t>Physical Therapy</t>
  </si>
  <si>
    <t>Dental Hygiene</t>
  </si>
  <si>
    <t>Occupational Therapy</t>
  </si>
  <si>
    <t>Associate Degree (4Yrs)</t>
  </si>
  <si>
    <t>Clinical Pathology</t>
  </si>
  <si>
    <t>Hospital and Medical Administration</t>
  </si>
  <si>
    <t>Early Childhood Education</t>
  </si>
  <si>
    <t>Department of Business Administration</t>
  </si>
  <si>
    <t>Department of Defense Industry</t>
  </si>
  <si>
    <t>Department of Police Administration</t>
  </si>
  <si>
    <t xml:space="preserve"> Department of Autonomous Major</t>
  </si>
  <si>
    <t xml:space="preserve">hotel and tourism division </t>
  </si>
  <si>
    <t>Digital Literature Creation Division</t>
  </si>
  <si>
    <t xml:space="preserve"> </t>
  </si>
  <si>
    <t>Major / Program</t>
  </si>
  <si>
    <t>Tuition Fee (USD)</t>
  </si>
  <si>
    <t>Dorm Option A - Room &amp; Board (Academic Year, 1 meal/day) (USD)</t>
  </si>
  <si>
    <t>Dorm Option A - Room &amp; Board (Academic Year, 1 meal/day) (LKR)</t>
  </si>
  <si>
    <t>Dorm Option B - Room &amp; Board (Summer/Winter, per semester) (USD)</t>
  </si>
  <si>
    <t>Dorm Option B - Room &amp; Board (Summer/Winter, per semester) (LKR)</t>
  </si>
  <si>
    <t>Total with Dorm Option A (LKR)</t>
  </si>
  <si>
    <t>Total with Dorm Option B (LKR)</t>
  </si>
  <si>
    <t>Woosong University (WSU), South Korea</t>
  </si>
  <si>
    <t>AI and Big Data</t>
  </si>
  <si>
    <t>Business Administration (AACSB accredited)</t>
  </si>
  <si>
    <t>Global Hospitality (formerly known as Global Hotel Management)</t>
  </si>
  <si>
    <t>AI Management (formerly known as Global Management)</t>
  </si>
  <si>
    <t>Media and Communication Arts</t>
  </si>
  <si>
    <t>Global Culinary Arts</t>
  </si>
  <si>
    <t>Global Restaurant Management (formerly known as Restaurant Entrepreneurship)</t>
  </si>
  <si>
    <t>AI</t>
  </si>
  <si>
    <t>Data Science</t>
  </si>
  <si>
    <t>K-Beauty Design</t>
  </si>
  <si>
    <t>Global Railroad</t>
  </si>
  <si>
    <t>IDegree (first 4 online semesters) Hybrid Degree</t>
  </si>
  <si>
    <t>ME in Artificial Intelligence</t>
  </si>
  <si>
    <t>MS in Hospitality Management</t>
  </si>
  <si>
    <t>MS in AI Business Management</t>
  </si>
  <si>
    <t>MA in Global and Human Studies</t>
  </si>
  <si>
    <t>Master in Business Administration (AACSB accredited)</t>
  </si>
  <si>
    <t>Master of Science (Marketing and Analytics / Technology and Entrepreneurship)</t>
  </si>
  <si>
    <t>Ph.D. AI Convergence</t>
  </si>
  <si>
    <t>Ph.D. Artificial Intelligence</t>
  </si>
  <si>
    <t>Ph.D. in Hospitality and Tourism</t>
  </si>
  <si>
    <t>Ph.D. in Management Studies</t>
  </si>
  <si>
    <t>Ph.D. in Global Management</t>
  </si>
  <si>
    <t>Ph.D. in Design Management</t>
  </si>
  <si>
    <t>Dorm Option 1 (KRW approx)</t>
  </si>
  <si>
    <t>Dorm Option 2 (KRW approx)</t>
  </si>
  <si>
    <t>Dorm Option 3 (KRW approx)</t>
  </si>
  <si>
    <t>Dorm Option 4 (KRW approx)</t>
  </si>
  <si>
    <t>Dorm Option 4 (LKR approx)</t>
  </si>
  <si>
    <t>Total with Dorm Option 4 (LKR approx)</t>
  </si>
  <si>
    <t>Jeonju University</t>
  </si>
  <si>
    <t>International Hospitality and Tourism Management</t>
  </si>
  <si>
    <t>History and Cultural Contents</t>
  </si>
  <si>
    <t>Japanese Language and Culture</t>
  </si>
  <si>
    <t>Chinese Language and Sinology</t>
  </si>
  <si>
    <t>Korean Language and Culture Creation</t>
  </si>
  <si>
    <t>Police Science</t>
  </si>
  <si>
    <t>Counseling Psychology</t>
  </si>
  <si>
    <t>Public Administration</t>
  </si>
  <si>
    <t>Logistics and Trade</t>
  </si>
  <si>
    <t>Accounting and Tax</t>
  </si>
  <si>
    <t>Finance and Insurance</t>
  </si>
  <si>
    <t>Real Estate and National Spatial Information</t>
  </si>
  <si>
    <t>IT Finance</t>
  </si>
  <si>
    <t>Food and Nutrition</t>
  </si>
  <si>
    <t>Exercise Prescription</t>
  </si>
  <si>
    <t>Food Service Industry</t>
  </si>
  <si>
    <t>Fashion Business</t>
  </si>
  <si>
    <t>Korean Cuisine</t>
  </si>
  <si>
    <t>International Hospitality Management</t>
  </si>
  <si>
    <t>Creative Arts Psychotherapy</t>
  </si>
  <si>
    <t>Soccer</t>
  </si>
  <si>
    <t>Taekwondo (Sports Coaching)</t>
  </si>
  <si>
    <t>Game Contents</t>
  </si>
  <si>
    <t>Visual Design</t>
  </si>
  <si>
    <t>Performing Arts and Broadcasting Acting</t>
  </si>
  <si>
    <t xml:space="preserve"> Film &amp; Broadcasting</t>
  </si>
  <si>
    <t>Webtoon Contents</t>
  </si>
  <si>
    <t>Architecture (5 years)</t>
  </si>
  <si>
    <t>Mechanical and Automotive Engineering</t>
  </si>
  <si>
    <t>Manufacturing Technology and Design Engineering</t>
  </si>
  <si>
    <t>Fire Safety Engineering</t>
  </si>
  <si>
    <t>Nano and Advanced Materials Engineering</t>
  </si>
  <si>
    <t>Electrical and Electronics Engineering</t>
  </si>
  <si>
    <t>Information and Communication Engineering</t>
  </si>
  <si>
    <t>Civil and Environmental Engineering</t>
  </si>
  <si>
    <t>Data Engineering (Data Science)</t>
  </si>
  <si>
    <t>Smart Media</t>
  </si>
  <si>
    <t>Artificial Intelligence</t>
  </si>
  <si>
    <t>MASTERS</t>
  </si>
  <si>
    <t>ADMISSION FEE</t>
  </si>
  <si>
    <t>IT Accounting &amp; Finance</t>
  </si>
  <si>
    <t>Masters</t>
  </si>
  <si>
    <t>Public Policy</t>
  </si>
  <si>
    <t>Real Estate Studies</t>
  </si>
  <si>
    <t>Private History</t>
  </si>
  <si>
    <t>Child and Special Education</t>
  </si>
  <si>
    <t>Hotel Management</t>
  </si>
  <si>
    <t>Culture Technology</t>
  </si>
  <si>
    <t>Culinary Arts and Food Industry</t>
  </si>
  <si>
    <t>Environmental Life Sciences and Food Science</t>
  </si>
  <si>
    <t>Sports medicine</t>
  </si>
  <si>
    <t>Construction Engineering</t>
  </si>
  <si>
    <t>Industrial Engineering</t>
  </si>
  <si>
    <t>Electrical and Electronic Engineering</t>
  </si>
  <si>
    <t>Advanced Materials Engineering</t>
  </si>
  <si>
    <t>Carbon Fusion Energy Engineering</t>
  </si>
  <si>
    <t>Design</t>
  </si>
  <si>
    <t>Art Psychotherapy</t>
  </si>
  <si>
    <t>Musicology</t>
  </si>
  <si>
    <t>Physical education</t>
  </si>
  <si>
    <t>Taekwondo</t>
  </si>
  <si>
    <t>Theology</t>
  </si>
  <si>
    <t>English Literature</t>
  </si>
  <si>
    <t>Food Service and Culinary Management</t>
  </si>
  <si>
    <t>Korea - China Advanced Department of Classical Culture</t>
  </si>
  <si>
    <t>Dorm Option 4 (USD approx)</t>
  </si>
  <si>
    <t>Dorm Option 5 (USD approx)</t>
  </si>
  <si>
    <t>Dorm Option 5 (LKR approx)</t>
  </si>
  <si>
    <t>Total with Dorm Option 5 (LKR approx)</t>
  </si>
  <si>
    <t>Hannam University</t>
  </si>
  <si>
    <t>Department of Korean Language &amp;
Literature/Literary Creative Writing</t>
  </si>
  <si>
    <t>Department of English Language &amp; Literature</t>
  </si>
  <si>
    <t>Department of Applied English Contents</t>
  </si>
  <si>
    <t>Japanese Language &amp; Literature</t>
  </si>
  <si>
    <t>French Language &amp; Literature</t>
  </si>
  <si>
    <t>Department of Library &amp; Information Science</t>
  </si>
  <si>
    <t>Department of History</t>
  </si>
  <si>
    <t>Department of Christian Studies</t>
  </si>
  <si>
    <t>Department of Information and Communication
Engineering</t>
  </si>
  <si>
    <t>Department of Electrical and Electronic Engineering</t>
  </si>
  <si>
    <t>Department of Multimedia Engineering</t>
  </si>
  <si>
    <t>Department of Architecture(5-year course)</t>
  </si>
  <si>
    <t>Department of Chemical Engineering</t>
  </si>
  <si>
    <t>Department of Advanced Materials</t>
  </si>
  <si>
    <t>Department of Computer Engineering</t>
  </si>
  <si>
    <t>Department of Industrial and Management Engineering</t>
  </si>
  <si>
    <t>Department of Artificial Intelligence</t>
  </si>
  <si>
    <t>Department of Big Data Application</t>
  </si>
  <si>
    <t>Department of Economics</t>
  </si>
  <si>
    <t>Department of Chinese Business and Economics</t>
  </si>
  <si>
    <t>Department of Hotel and Airline Management</t>
  </si>
  <si>
    <t>Department of Management Information Systems</t>
  </si>
  <si>
    <t xml:space="preserve"> Division of Law : Law
                             : Judicial Service Law </t>
  </si>
  <si>
    <t>Department of Police Science</t>
  </si>
  <si>
    <t>Department of Politics, Communication Studies</t>
  </si>
  <si>
    <t>Department of Child Development and Guidance</t>
  </si>
  <si>
    <t>Department of Counseling Psychology</t>
  </si>
  <si>
    <t>Department of Social Economy &amp; Business</t>
  </si>
  <si>
    <t>Department of Biological Sciences and Biotechnology</t>
  </si>
  <si>
    <t>Department of Food and Nutrition</t>
  </si>
  <si>
    <t>Department of Sport Sciences</t>
  </si>
  <si>
    <t>Department of Biopharmaceutical Engineering</t>
  </si>
  <si>
    <t xml:space="preserve"> Linton Global School                  : Global Business 
(Taught entirely in English)        : Global Media &amp; Culture </t>
  </si>
  <si>
    <t>Department of Convergence Design</t>
  </si>
  <si>
    <t>Department of Fine Arts</t>
  </si>
  <si>
    <t>Department of Media and Visual Communications</t>
  </si>
  <si>
    <t>School of Open Major</t>
  </si>
  <si>
    <t xml:space="preserve">Masters </t>
  </si>
  <si>
    <t>Literary Creative Writing</t>
  </si>
  <si>
    <t>English Language &amp; Literature</t>
  </si>
  <si>
    <t>Children's English</t>
  </si>
  <si>
    <t>Library &amp; Information Science</t>
  </si>
  <si>
    <t>Christian Studies</t>
  </si>
  <si>
    <t>Korean Education</t>
  </si>
  <si>
    <t>Management Information Systems</t>
  </si>
  <si>
    <t>MICE‧Hotel&amp;Tourism</t>
  </si>
  <si>
    <t>Politics, Communi. &amp; International Studies</t>
  </si>
  <si>
    <t>Child Development &amp; Guidance</t>
  </si>
  <si>
    <t>Food Science</t>
  </si>
  <si>
    <t>Multimedia</t>
  </si>
  <si>
    <t>Civil &amp;Environmental Engineering</t>
  </si>
  <si>
    <t>Electrical &amp; Electronic Engineering</t>
  </si>
  <si>
    <t>Advanced Materials &amp; Chemical Engineering</t>
  </si>
  <si>
    <t>Inf. &amp; Communi. Engineering</t>
  </si>
  <si>
    <t>Biopharmaceutical Engineering</t>
  </si>
  <si>
    <t>Fine Arts</t>
  </si>
  <si>
    <t>Archives Management</t>
  </si>
  <si>
    <t>Counseling</t>
  </si>
  <si>
    <t>Global Business</t>
  </si>
  <si>
    <t>Business of Art &amp; Culture</t>
  </si>
  <si>
    <t>Global Economics &amp; Commerce</t>
  </si>
  <si>
    <t>Social Economy, Business&amp;Policy</t>
  </si>
  <si>
    <t>Art Education</t>
  </si>
  <si>
    <t>Cosmetic Science</t>
  </si>
  <si>
    <t>Space Engineering</t>
  </si>
  <si>
    <t>AI and Data Science</t>
  </si>
  <si>
    <t>Nanomaterials and Semiconductor</t>
  </si>
  <si>
    <t>Design Engineering</t>
  </si>
  <si>
    <t>Defense AI Transformation and Convergence</t>
  </si>
  <si>
    <t>Admission (KRW)</t>
  </si>
  <si>
    <t>Admission (LKR)</t>
  </si>
  <si>
    <t>Admission+Tuition (LKR)</t>
  </si>
  <si>
    <t>Konkuk University</t>
  </si>
  <si>
    <t>Geography</t>
  </si>
  <si>
    <t>Media &amp; Communication</t>
  </si>
  <si>
    <t>Digital Culture &amp; Contents</t>
  </si>
  <si>
    <t>Liberal Studies in Liberal Arts</t>
  </si>
  <si>
    <t>Liberal Studies in Sciences</t>
  </si>
  <si>
    <t>Architecture</t>
  </si>
  <si>
    <t>Chemical, Biomolecular &amp; Energy Engineering</t>
  </si>
  <si>
    <t>Computer Science &amp; Engineering</t>
  </si>
  <si>
    <t>Materials Science &amp; Engineering</t>
  </si>
  <si>
    <t>Aerospace &amp; Mobility Engineering</t>
  </si>
  <si>
    <t>Biological Engineering</t>
  </si>
  <si>
    <t>Liberal Studies in Engineering</t>
  </si>
  <si>
    <t>International Commerce</t>
  </si>
  <si>
    <t>Applied Statistics</t>
  </si>
  <si>
    <t>Interdisciplinary Studies in Social Science</t>
  </si>
  <si>
    <t>Management of Technology</t>
  </si>
  <si>
    <t>Advanced Biotechnology</t>
  </si>
  <si>
    <t>Systems Biotechnology</t>
  </si>
  <si>
    <t>Integrative Bioscience and Biotechnology</t>
  </si>
  <si>
    <t>Liberal Studies in Institute of Science and Technology</t>
  </si>
  <si>
    <t>Animal &amp; Food Science and Marketing</t>
  </si>
  <si>
    <t>Environmental Health/Forestry and Landscape Architecture</t>
  </si>
  <si>
    <t>Biological Sciences</t>
  </si>
  <si>
    <t>Crop Science</t>
  </si>
  <si>
    <t>Liberal Studies in Life Science</t>
  </si>
  <si>
    <t>Communication Design</t>
  </si>
  <si>
    <t>Apparel Design</t>
  </si>
  <si>
    <t>Living Design</t>
  </si>
  <si>
    <t>Contemporary Arts</t>
  </si>
  <si>
    <t>Moving Images</t>
  </si>
  <si>
    <t>Media Acting</t>
  </si>
  <si>
    <t>Japanese Language Education</t>
  </si>
  <si>
    <t>Music Education</t>
  </si>
  <si>
    <t>Educational Technology</t>
  </si>
  <si>
    <t>International Commerce &amp; Business</t>
  </si>
  <si>
    <t>yes</t>
  </si>
  <si>
    <t>Culture &amp; Media</t>
  </si>
  <si>
    <t>AI Design</t>
  </si>
  <si>
    <t>Computer Software</t>
  </si>
  <si>
    <t>no</t>
  </si>
  <si>
    <t>KU School of Liberal Studies</t>
  </si>
  <si>
    <t>Mechanical and Automotive Convergence Engineering</t>
  </si>
  <si>
    <t>English Language</t>
  </si>
  <si>
    <t>Teaching Korean as a Foreign Language</t>
  </si>
  <si>
    <t>Fairytale Creative Writing</t>
  </si>
  <si>
    <t>Fairytale Media Specialist</t>
  </si>
  <si>
    <t>Fairytale Entertainment</t>
  </si>
  <si>
    <t>Mass Communication</t>
  </si>
  <si>
    <t>International Customs Duty</t>
  </si>
  <si>
    <t>International Management</t>
  </si>
  <si>
    <t>International Customs Duty,</t>
  </si>
  <si>
    <t>Agri-Food Economics</t>
  </si>
  <si>
    <t>Criminal Investigation</t>
  </si>
  <si>
    <t>Crime Analysis</t>
  </si>
  <si>
    <t>Multicultural Linguistic Communication Studies</t>
  </si>
  <si>
    <t>Medicinal biosciences</t>
  </si>
  <si>
    <t>AniBiotech</t>
  </si>
  <si>
    <t>Beauty Fragrance and Flavor</t>
  </si>
  <si>
    <t>Biocosmetics</t>
  </si>
  <si>
    <t>Applied Chemistry</t>
  </si>
  <si>
    <t>Biomedical Engineering</t>
  </si>
  <si>
    <t>Computer Science</t>
  </si>
  <si>
    <t xml:space="preserve">Yes </t>
  </si>
  <si>
    <t>Fire and Disaster Prevention Convergence</t>
  </si>
  <si>
    <t>Fine Art</t>
  </si>
  <si>
    <t>Conservation of Fine Art</t>
  </si>
  <si>
    <t>Media contents</t>
  </si>
  <si>
    <t>Media Arts</t>
  </si>
  <si>
    <t>Infection and Immunology</t>
  </si>
  <si>
    <t>Metabolism and Aging</t>
  </si>
  <si>
    <t>Molecular Genetics and Pathology</t>
  </si>
  <si>
    <t>Social Medicine</t>
  </si>
  <si>
    <t>Cell and Molecular Biology</t>
  </si>
  <si>
    <t>Neuroscience</t>
  </si>
  <si>
    <t>Clinical Medicine</t>
  </si>
  <si>
    <t>Cancer Biology</t>
  </si>
  <si>
    <t>Stem Cell and Regenerative Medicine</t>
  </si>
  <si>
    <t>Advanced Translational Pharmacology</t>
  </si>
  <si>
    <t>Anatomy</t>
  </si>
  <si>
    <t>Preventive Medicine</t>
  </si>
  <si>
    <t>university</t>
  </si>
  <si>
    <t>woosuk university</t>
  </si>
  <si>
    <t>Bachelors</t>
  </si>
  <si>
    <t>Medicine &amp; Health Science Management</t>
  </si>
  <si>
    <t>Pharmaceutical Engineering</t>
  </si>
  <si>
    <t>Child Welfare</t>
  </si>
  <si>
    <t>Rehabilitation Studies</t>
  </si>
  <si>
    <t>Police Administration</t>
  </si>
  <si>
    <t xml:space="preserve">Department of Industrial Safety and Firefighting </t>
  </si>
  <si>
    <t>Department of Fire and Disaster Prevention</t>
  </si>
  <si>
    <t>Information Security</t>
  </si>
  <si>
    <t>Department of_x000D_
Military Affairs</t>
  </si>
  <si>
    <t>Department of Media and Film</t>
  </si>
  <si>
    <t>Department of Trade and Distribution</t>
  </si>
  <si>
    <t>Department of Hydrogen Technology</t>
  </si>
  <si>
    <t>Department of Hydrogen Energy Engineering</t>
  </si>
  <si>
    <t xml:space="preserve">
Department of Aviation Services</t>
  </si>
  <si>
    <t>Department of Hotel and Culinary Arts</t>
  </si>
  <si>
    <t>Department of Food &amp; Nutrition</t>
  </si>
  <si>
    <t>Department of Physical Education</t>
  </si>
  <si>
    <t>Department of Taekwondo</t>
  </si>
  <si>
    <t>Department of Architecture and Interior Design</t>
  </si>
  <si>
    <t>Department of Sports Coaching</t>
  </si>
  <si>
    <t>Department of Special Education</t>
  </si>
  <si>
    <t>Department of Early Childhood Special Education</t>
  </si>
  <si>
    <t>Department of Mathematics Education</t>
  </si>
  <si>
    <t>Department of Korean Education</t>
  </si>
  <si>
    <t>Department of Pharmacy</t>
  </si>
  <si>
    <t>Department of Herbal Medicine</t>
  </si>
  <si>
    <t>Department of Oriental Medicine</t>
  </si>
  <si>
    <t>Department of Nursing</t>
  </si>
  <si>
    <t>Department of Advertising &amp; Public Relations</t>
  </si>
  <si>
    <t>Department of Military Security</t>
  </si>
  <si>
    <t>Department of Performing Arts and Musicals</t>
  </si>
  <si>
    <t>Department of Fashion and Styling</t>
  </si>
  <si>
    <t>Department of Creative Writing</t>
  </si>
  <si>
    <t>Department of Eco-Bio Science</t>
  </si>
  <si>
    <t>Department of National Defense and Technology</t>
  </si>
  <si>
    <t>Department of Architecture</t>
  </si>
  <si>
    <t>Department of Information Technology</t>
  </si>
  <si>
    <t xml:space="preserve">Department of Leisure and Sports </t>
  </si>
  <si>
    <t>Department Civil and Environmental Engineering</t>
  </si>
  <si>
    <t>Department of Energy Engineering</t>
  </si>
  <si>
    <t>Department of Electrical and Automotive Engineering</t>
  </si>
  <si>
    <t>Department of Landscaping_x000D_
and Urban Design</t>
  </si>
  <si>
    <t>Department of Tourism</t>
  </si>
  <si>
    <t>Special Education</t>
  </si>
  <si>
    <t>International Business Studies</t>
  </si>
  <si>
    <t xml:space="preserve"> Child Welfare </t>
  </si>
  <si>
    <t>masters</t>
  </si>
  <si>
    <t>Early Childhood</t>
  </si>
  <si>
    <t>Department of Education and Cultural Content Development</t>
  </si>
  <si>
    <t xml:space="preserve"> Food  and Biotechnology </t>
  </si>
  <si>
    <t>department of Rehabilitation</t>
  </si>
  <si>
    <t>Electrical Energy Engineering</t>
  </si>
  <si>
    <t>Department of Civil Engineering</t>
  </si>
  <si>
    <t>Automotive Engineering</t>
  </si>
  <si>
    <t>Disaster Management</t>
  </si>
  <si>
    <t xml:space="preserve">Oriental Medicine </t>
  </si>
  <si>
    <t>Department of Hydrogen Mobility Engineering</t>
  </si>
  <si>
    <t>Korean Music</t>
  </si>
  <si>
    <t>Sports Medicine</t>
  </si>
  <si>
    <t>Department of East Asian Landscape Architecture</t>
  </si>
  <si>
    <t>Dance Education</t>
  </si>
  <si>
    <t>Early Childhood Special Education</t>
  </si>
  <si>
    <t>Art managemant</t>
  </si>
  <si>
    <t>Distribution and Logistics</t>
  </si>
  <si>
    <t xml:space="preserve"> Physical Therapy</t>
  </si>
  <si>
    <t>Korean Language Teaching</t>
  </si>
  <si>
    <t>Restaurant Management</t>
  </si>
  <si>
    <t>Social Enterprise</t>
  </si>
  <si>
    <t>Department of Education</t>
  </si>
  <si>
    <t>Department of Sports Welfare Education</t>
  </si>
  <si>
    <t>Creative Writing</t>
  </si>
  <si>
    <t>Department of Tourism and Culture Management</t>
  </si>
  <si>
    <t xml:space="preserve">
Department of Life Sciences </t>
  </si>
  <si>
    <t>Family Welfare</t>
  </si>
  <si>
    <t>Multi-culturalism</t>
  </si>
  <si>
    <t>Social Economy and Management Department</t>
  </si>
  <si>
    <t>Department of Play Psychology and Rehabilitation</t>
  </si>
  <si>
    <t>Architecture and Urban Landscape Real Estate Studies</t>
  </si>
  <si>
    <t xml:space="preserve">Department of Art </t>
  </si>
  <si>
    <t>Beauty Art Management</t>
  </si>
  <si>
    <t>IT-Financing Convergence</t>
  </si>
  <si>
    <t>Department of Global Management</t>
  </si>
  <si>
    <t>Department of Pharmaceutical and Cosmetic Engineering</t>
  </si>
  <si>
    <t xml:space="preserve">Defense Policy </t>
  </si>
  <si>
    <t>Military  Counselling Psychology</t>
  </si>
  <si>
    <t>docterate</t>
  </si>
  <si>
    <t>Psychomotoric</t>
  </si>
  <si>
    <t>Education and Cultural Contents Development</t>
  </si>
  <si>
    <t>Global Restaurant Management</t>
  </si>
  <si>
    <t>Tourism  Management</t>
  </si>
  <si>
    <t>Korean Medicine</t>
  </si>
  <si>
    <t>Civil Engineering and Landscaping</t>
  </si>
  <si>
    <t>Pharmaceuticals &amp; Cosmetics</t>
  </si>
  <si>
    <t>Oriental Medicine</t>
  </si>
  <si>
    <t>Traditional Korean Music</t>
  </si>
  <si>
    <t>Social Economy and Management</t>
  </si>
  <si>
    <t xml:space="preserve">
Department of Business Administration</t>
  </si>
  <si>
    <t>Department of Sports Science</t>
  </si>
  <si>
    <t>Department of Fire and Safety Engineering</t>
  </si>
  <si>
    <t>Department of Automotive Engineering</t>
  </si>
  <si>
    <t>Department of Construction Convergence Systems</t>
  </si>
  <si>
    <t>Dorm Option 2  (KRW)</t>
  </si>
  <si>
    <t>Dorm Per Semester option 1 (LKR approx)</t>
  </si>
  <si>
    <t>Dorm Per Semester option 2 (LKR approx)</t>
  </si>
  <si>
    <t>Hanil University</t>
  </si>
  <si>
    <t>Contemporary Music</t>
  </si>
  <si>
    <t>Psychology and Counseling</t>
  </si>
  <si>
    <t>Nursing Science</t>
  </si>
  <si>
    <t>Exercise Prescription and Rehabilitation</t>
  </si>
  <si>
    <t>Graduate School of Theology</t>
  </si>
  <si>
    <t>Graduate School of Social Welfare</t>
  </si>
  <si>
    <t>Graduate School of NGO Policy Studies</t>
  </si>
  <si>
    <t>Graduate School of Psychotherapy</t>
  </si>
  <si>
    <t>Kunjang University College</t>
  </si>
  <si>
    <t>Smart Automobile Machinery Division</t>
  </si>
  <si>
    <t>Artificial Intelligence Convergence Department</t>
  </si>
  <si>
    <t>Department of Energy Convergence Chemical Engineering</t>
  </si>
  <si>
    <t>Department of Physical Therapy</t>
  </si>
  <si>
    <t>Culinary Arts Department</t>
  </si>
  <si>
    <t>Smart Agriculture and Food Department</t>
  </si>
  <si>
    <t>Smart Horticulture and Landscape Architecture</t>
  </si>
  <si>
    <t>Global Tourism Division</t>
  </si>
  <si>
    <t>Youth Education and Guidance Department</t>
  </si>
  <si>
    <t>Social welfare department</t>
  </si>
  <si>
    <t>Child Psychology Counseling Department</t>
  </si>
  <si>
    <t>Social Welfare Counseling Department</t>
  </si>
  <si>
    <t>Social Economy Department</t>
  </si>
  <si>
    <t>Sports Welfare Department</t>
  </si>
  <si>
    <t>Fashion Industry Department</t>
  </si>
  <si>
    <t>Department of Korean Culture and Arts</t>
  </si>
  <si>
    <t>Konju university</t>
  </si>
  <si>
    <t>Language and Literature</t>
  </si>
  <si>
    <t>Chinese</t>
  </si>
  <si>
    <t>French Language and Literature</t>
  </si>
  <si>
    <t>German Language and Literature</t>
  </si>
  <si>
    <t>History, Geography</t>
  </si>
  <si>
    <t>Division of Economic &amp; Trade</t>
  </si>
  <si>
    <t xml:space="preserve"> Tourism &amp; English Interpretation and Translation Convergence</t>
  </si>
  <si>
    <t>Division of Electrical·Electronic &amp; Control Engineering, Information &amp; Communication Engineering</t>
  </si>
  <si>
    <t>Smart Information Technology Engineering</t>
  </si>
  <si>
    <t>Software</t>
  </si>
  <si>
    <t>Division of Mechanical &amp; Automotive Engineering</t>
  </si>
  <si>
    <t>Future Automotive Engineering</t>
  </si>
  <si>
    <t xml:space="preserve"> Smart Infrastructure Engineering</t>
  </si>
  <si>
    <t>Urban &amp; Transportation Engineering</t>
  </si>
  <si>
    <t>Green Smart Architectural Engineering</t>
  </si>
  <si>
    <t xml:space="preserve"> Division of Advanced Materials Engineering</t>
  </si>
  <si>
    <t>design Convergence</t>
  </si>
  <si>
    <t xml:space="preserve"> Environmental Engineering</t>
  </si>
  <si>
    <t xml:space="preserve"> Industrial Engineering</t>
  </si>
  <si>
    <t>Optical Engineering</t>
  </si>
  <si>
    <t>Digital Convergence Metalmold Engineering</t>
  </si>
  <si>
    <t>Intelligent Mobility</t>
  </si>
  <si>
    <t>Game Design</t>
  </si>
  <si>
    <t>Furniture Living Design</t>
  </si>
  <si>
    <t>Convergence Design in Ceramic Culture</t>
  </si>
  <si>
    <t>Jewelry and Metal Design</t>
  </si>
  <si>
    <t>Division of Cartoon &amp; Animation</t>
  </si>
  <si>
    <t>Dance</t>
  </si>
  <si>
    <t xml:space="preserve"> Visual Studies</t>
  </si>
  <si>
    <t>Data Information and Physics</t>
  </si>
  <si>
    <t>Applied Mathematics</t>
  </si>
  <si>
    <t>Chemistry, Biological Sciences</t>
  </si>
  <si>
    <t>Geoenvironmental Sciences</t>
  </si>
  <si>
    <t>Atmospheric Science</t>
  </si>
  <si>
    <t>Conservation Science for Cultural Heritage</t>
  </si>
  <si>
    <t>Fashion Design &amp; Merchandising</t>
  </si>
  <si>
    <t>Life sports Education</t>
  </si>
  <si>
    <t>Community Development</t>
  </si>
  <si>
    <t xml:space="preserve"> Real Estate Studies</t>
  </si>
  <si>
    <t>Industrial Channels Management</t>
  </si>
  <si>
    <t>Plant Resources</t>
  </si>
  <si>
    <t>Animal Resources Science</t>
  </si>
  <si>
    <t>Rural Construction Engineering</t>
  </si>
  <si>
    <t>SmartFarm Engineering</t>
  </si>
  <si>
    <t>Forest Science</t>
  </si>
  <si>
    <t>Food Service Management and Nutrition</t>
  </si>
  <si>
    <t>Food Science &amp; Technology</t>
  </si>
  <si>
    <t>Companion and Laboratory Animal Science</t>
  </si>
  <si>
    <t>Aqualife Medicine</t>
  </si>
  <si>
    <t>Health Administration</t>
  </si>
  <si>
    <t>Emergency Medical Service</t>
  </si>
  <si>
    <t>Medical Information</t>
  </si>
  <si>
    <t xml:space="preserve"> English Education</t>
  </si>
  <si>
    <t xml:space="preserve"> Sino-Korean Classics</t>
  </si>
  <si>
    <t>Sino-Korean Education</t>
  </si>
  <si>
    <t>Chinese Language and Literature</t>
  </si>
  <si>
    <t>Finance and International Trade</t>
  </si>
  <si>
    <t>Social Studies Education</t>
  </si>
  <si>
    <t>Library and Information Science Education</t>
  </si>
  <si>
    <t xml:space="preserve"> Biological Sciences</t>
  </si>
  <si>
    <t>Geo-Environmental Science</t>
  </si>
  <si>
    <t>Environmental Science</t>
  </si>
  <si>
    <t xml:space="preserve"> Cultural Heritage Conservation Science</t>
  </si>
  <si>
    <t xml:space="preserve"> Fashion Design &amp; Merchandising</t>
  </si>
  <si>
    <t xml:space="preserve"> Computer Education</t>
  </si>
  <si>
    <t>Physics Education</t>
  </si>
  <si>
    <t xml:space="preserve"> Biology Education</t>
  </si>
  <si>
    <t>Earth Science Education</t>
  </si>
  <si>
    <t xml:space="preserve"> Chemistry Education</t>
  </si>
  <si>
    <t xml:space="preserve"> Nursing</t>
  </si>
  <si>
    <t xml:space="preserve"> Emergency Medical Service</t>
  </si>
  <si>
    <t xml:space="preserve"> Mechanical Engineering</t>
  </si>
  <si>
    <t xml:space="preserve"> Civil and Environmental Engineering</t>
  </si>
  <si>
    <t>Urban System Convergence Engineering</t>
  </si>
  <si>
    <t>Advanced Material Engineering</t>
  </si>
  <si>
    <t xml:space="preserve"> Computer Engineering</t>
  </si>
  <si>
    <t>Electrical</t>
  </si>
  <si>
    <t>Electronic and Control Engineering</t>
  </si>
  <si>
    <t>Environmental Engineering</t>
  </si>
  <si>
    <t xml:space="preserve"> Optical Engineering</t>
  </si>
  <si>
    <t>Physical Training</t>
  </si>
  <si>
    <t xml:space="preserve"> Physical Education</t>
  </si>
  <si>
    <t xml:space="preserve"> Fine Arts</t>
  </si>
  <si>
    <t xml:space="preserve"> Crafts Design</t>
  </si>
  <si>
    <t>Cartoon and Animation</t>
  </si>
  <si>
    <t xml:space="preserve"> Ceramic Integrated Design</t>
  </si>
  <si>
    <t>Energy Systems Engineering</t>
  </si>
  <si>
    <t xml:space="preserve"> Future Convergence Engineering</t>
  </si>
  <si>
    <t>Optical·Metalmold Engineering</t>
  </si>
  <si>
    <t>Semiconductor Engineering</t>
  </si>
  <si>
    <t>Convergence Science</t>
  </si>
  <si>
    <t>Oriental Science</t>
  </si>
  <si>
    <t xml:space="preserve"> Korean Language Education</t>
  </si>
  <si>
    <t xml:space="preserve"> Tourism Management</t>
  </si>
  <si>
    <t xml:space="preserve"> International Tourism &amp; Korean-English Interpretation and Translation Convergence</t>
  </si>
  <si>
    <t xml:space="preserve"> Social Enterprise Management</t>
  </si>
  <si>
    <t>AI based Convergence Education</t>
  </si>
  <si>
    <t xml:space="preserve"> Culture &amp; Arts Contents</t>
  </si>
  <si>
    <t>Smart Medical Wellness Tourism</t>
  </si>
  <si>
    <t xml:space="preserve"> Plant Resources</t>
  </si>
  <si>
    <t xml:space="preserve"> Animal Resources Science</t>
  </si>
  <si>
    <t xml:space="preserve"> Forest Science</t>
  </si>
  <si>
    <t xml:space="preserve"> Companion and Laboratory Animal Science</t>
  </si>
  <si>
    <t>Food Service Management &amp; Nutrition</t>
  </si>
  <si>
    <t>Fisheries Science</t>
  </si>
  <si>
    <t>Food Science and Technology</t>
  </si>
  <si>
    <t xml:space="preserve"> Agricultural Engineering</t>
  </si>
  <si>
    <t>Agricultural and Life Biological Systems</t>
  </si>
  <si>
    <t>Applied Biotechnology</t>
  </si>
  <si>
    <t>KRW_to_LKR</t>
  </si>
  <si>
    <t>USD_to_LKR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</si>
</sst>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282828"/>
      <name val="Noto Sans KR"/>
      <family val="2"/>
      <charset val="1"/>
    </font>
    <font>
      <sz val="11"/>
      <color rgb="FF282828"/>
      <name val="Calibri"/>
      <scheme val="minor"/>
    </font>
    <font>
      <sz val="11"/>
      <color rgb="FF000000"/>
      <name val="Calibri"/>
      <family val="2"/>
    </font>
    <font>
      <sz val="11"/>
      <color rgb="FF282828"/>
      <name val="Calibri"/>
    </font>
    <font>
      <sz val="11"/>
      <color rgb="FF282828"/>
      <name val="Calibri"/>
      <charset val="1"/>
    </font>
    <font>
      <sz val="11"/>
      <color theme="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7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3" fontId="0" fillId="2" borderId="0" xfId="0" applyNumberFormat="1" applyFill="1"/>
    <xf numFmtId="0" fontId="0" fillId="3" borderId="0" xfId="0" applyFill="1"/>
    <xf numFmtId="0" fontId="1" fillId="3" borderId="0" xfId="0" applyFont="1" applyFill="1"/>
    <xf numFmtId="0" fontId="2" fillId="3" borderId="0" xfId="0" applyFont="1" applyFill="1"/>
    <xf numFmtId="0" fontId="1" fillId="0" borderId="0" xfId="0" applyFont="1"/>
    <xf numFmtId="0" fontId="0" fillId="4" borderId="0" xfId="0" applyFill="1"/>
    <xf numFmtId="3" fontId="0" fillId="4" borderId="0" xfId="0" applyNumberFormat="1" applyFill="1"/>
    <xf numFmtId="0" fontId="0" fillId="5" borderId="0" xfId="0" applyFill="1"/>
    <xf numFmtId="3" fontId="0" fillId="5" borderId="0" xfId="0" applyNumberFormat="1" applyFill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5" fillId="0" borderId="0" xfId="0" applyFont="1" applyAlignment="1">
      <alignment wrapText="1"/>
    </xf>
    <xf numFmtId="0" fontId="1" fillId="5" borderId="0" xfId="0" applyFont="1" applyFill="1"/>
    <xf numFmtId="0" fontId="6" fillId="0" borderId="0" xfId="0" applyFont="1" applyAlignment="1">
      <alignment wrapText="1"/>
    </xf>
    <xf numFmtId="0" fontId="7" fillId="0" borderId="0" xfId="0" applyFont="1" applyBorder="1" applyAlignment="1"/>
    <xf numFmtId="0" fontId="8" fillId="0" borderId="0" xfId="0" applyFont="1" applyBorder="1" applyAlignment="1">
      <alignment wrapText="1"/>
    </xf>
    <xf numFmtId="0" fontId="9" fillId="0" borderId="0" xfId="0" applyFont="1"/>
    <xf numFmtId="3" fontId="7" fillId="0" borderId="0" xfId="0" applyNumberFormat="1" applyFont="1" applyBorder="1" applyAlignment="1"/>
    <xf numFmtId="0" fontId="0" fillId="6" borderId="0" xfId="0" applyFill="1"/>
    <xf numFmtId="0" fontId="10" fillId="7" borderId="0" xfId="1"/>
  </cellXfs>
  <cellStyles count="2">
    <cellStyle name="Accent1" xfId="1" builtinId="2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C88EB7-CEB1-4A00-91EA-0EE4B42BD89C}" name="ProgramsTable" displayName="ProgramsTable" ref="A1:M71">
  <autoFilter ref="A1:M71" xr:uid="{00000000-0009-0000-0100-000001000000}"/>
  <tableColumns count="13">
    <tableColumn id="1" xr3:uid="{FE2FCA40-A954-47A5-9A05-46C28FA3D751}" name="University"/>
    <tableColumn id="2" xr3:uid="{19D3889C-BD55-48A7-8343-6E69420CA88D}" name="Major"/>
    <tableColumn id="3" xr3:uid="{D9816907-849D-4718-B5F2-7324315102CB}" name="English Medium"/>
    <tableColumn id="4" xr3:uid="{6FD6A933-3950-4ECC-BA37-ED1368C1889C}" name="Korean Medium"/>
    <tableColumn id="5" xr3:uid="{A49C9A39-B774-4637-9A61-5B37E0EF1B77}" name="Degree Type"/>
    <tableColumn id="6" xr3:uid="{035D52BB-9089-4B91-A6AE-E6F96F61B977}" name="Tuition Fee (KRW)"/>
    <tableColumn id="7" xr3:uid="{34081ED4-C687-4056-B68B-8BBE9897DD90}" name="Tuition Fee (LKR)">
      <calculatedColumnFormula>IFERROR(ROUND(F2*0.21,0),"")</calculatedColumnFormula>
    </tableColumn>
    <tableColumn id="8" xr3:uid="{EDFB4200-E594-466D-9337-C2EE4CD05BD5}" name="Dorm Double (KRW)"/>
    <tableColumn id="9" xr3:uid="{2C04B4A2-A040-4043-8D3C-5A33A5535E42}" name="Dorm Double (LKR)">
      <calculatedColumnFormula>IFERROR(ROUND(H2*0.21,0),"")</calculatedColumnFormula>
    </tableColumn>
    <tableColumn id="10" xr3:uid="{40284B36-054B-41B7-A9C6-8D2C0D9E7794}" name="Dorm Single (KRW)"/>
    <tableColumn id="11" xr3:uid="{A05CA1CC-50E1-45D9-A278-D2214208F6C7}" name="Dorm Single (LKR)">
      <calculatedColumnFormula>IFERROR(ROUND(J2*0.21,0),"")</calculatedColumnFormula>
    </tableColumn>
    <tableColumn id="12" xr3:uid="{0A8406CE-E01C-4CD9-9CAD-4E97432D37D4}" name="Total with Dorm Double (LKR)">
      <calculatedColumnFormula>IF(OR(G2="",I2=""),"",G2+I2)</calculatedColumnFormula>
    </tableColumn>
    <tableColumn id="13" xr3:uid="{38627FF7-C264-4F5F-A309-0B24B25D0D08}" name="Total with Dorm Single (LKR)">
      <calculatedColumnFormula>IF(OR(G2="",K2=""),"",G2+K2)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F436E7-6F1C-4AB4-BE0B-D825F744E64B}" name="WSUPrograms" displayName="WSUPrograms" ref="A1:M26">
  <autoFilter ref="A1:M26" xr:uid="{00000000-0009-0000-0100-000001000000}"/>
  <tableColumns count="13">
    <tableColumn id="1" xr3:uid="{6C3A15B4-5566-4751-A9D4-193C7D4C5E6B}" name="University"/>
    <tableColumn id="2" xr3:uid="{D464C7D6-0728-4E1E-9C1F-3B96963E4901}" name="Major / Program"/>
    <tableColumn id="3" xr3:uid="{E7B1A33F-5AFD-475F-BFEC-4F425A8343A1}" name="English Medium"/>
    <tableColumn id="4" xr3:uid="{E1CF547A-041C-49ED-8D8E-A7C36DA0FFA0}" name="Korean Medium"/>
    <tableColumn id="5" xr3:uid="{60BB9127-71ED-40B4-BABA-AF74D59E67DC}" name="Degree Type"/>
    <tableColumn id="6" xr3:uid="{EF724BDE-004B-4767-94D3-317A543599D0}" name="Tuition Fee (USD)"/>
    <tableColumn id="7" xr3:uid="{FBB4BC2E-B67D-4348-B8D5-58850B75D6A6}" name="Tuition Fee (LKR)">
      <calculatedColumnFormula>IFERROR(ROUND(F2*309.65,0),"")</calculatedColumnFormula>
    </tableColumn>
    <tableColumn id="8" xr3:uid="{DCACF0DE-ACA1-47D8-995D-A7D46E6A1C73}" name="Dorm Option A - Room &amp; Board (Academic Year, 1 meal/day) (USD)"/>
    <tableColumn id="9" xr3:uid="{90AED48E-343A-428D-B1CF-A4A52DD6D395}" name="Dorm Option A - Room &amp; Board (Academic Year, 1 meal/day) (LKR)">
      <calculatedColumnFormula>IFERROR(ROUND(H2*309.65,0),"")</calculatedColumnFormula>
    </tableColumn>
    <tableColumn id="10" xr3:uid="{ADFB9CBE-59F3-4CE5-A574-3B0C73ECE9C8}" name="Dorm Option B - Room &amp; Board (Summer/Winter, per semester) (USD)"/>
    <tableColumn id="11" xr3:uid="{52D8F36F-AE2D-431A-855A-1DE4DF304F17}" name="Dorm Option B - Room &amp; Board (Summer/Winter, per semester) (LKR)">
      <calculatedColumnFormula>IFERROR(ROUND(J2*309.65,0),"")</calculatedColumnFormula>
    </tableColumn>
    <tableColumn id="12" xr3:uid="{E90090DF-39E5-4846-8322-21A32190EAD5}" name="Total with Dorm Option A (LKR)">
      <calculatedColumnFormula>IF(OR(G2="",I2=""),"",G2+I2)</calculatedColumnFormula>
    </tableColumn>
    <tableColumn id="13" xr3:uid="{EE3A1ABD-ED7B-4BF3-B15E-5F38D23DBBB2}" name="Total with Dorm Option B (LKR)">
      <calculatedColumnFormula>IF(OR(G2="",K2=""),"",G2+K2)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F4CF1-1F39-4D87-8235-32C13C6BC5F7}">
  <dimension ref="A1:M71"/>
  <sheetViews>
    <sheetView zoomScale="96" workbookViewId="0">
      <pane ySplit="1" topLeftCell="A54" activePane="bottomLeft" state="frozen"/>
      <selection pane="bottomLeft" activeCell="B37" sqref="B37"/>
    </sheetView>
  </sheetViews>
  <sheetFormatPr defaultRowHeight="15"/>
  <cols>
    <col min="1" max="1" width="20" customWidth="1"/>
    <col min="2" max="2" width="52" customWidth="1"/>
    <col min="3" max="4" width="14" customWidth="1"/>
    <col min="5" max="5" width="16" customWidth="1"/>
    <col min="6" max="7" width="18" customWidth="1"/>
    <col min="8" max="11" width="16" customWidth="1"/>
    <col min="12" max="13" width="24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4052500</v>
      </c>
      <c r="G2">
        <f t="shared" ref="G2:G65" si="0">IFERROR(ROUND(F2*0.21,0),"")</f>
        <v>851025</v>
      </c>
      <c r="H2">
        <v>1250000</v>
      </c>
      <c r="I2">
        <f t="shared" ref="I2:I65" si="1">IFERROR(ROUND(H2*0.21,0),"")</f>
        <v>262500</v>
      </c>
      <c r="J2">
        <v>1500000</v>
      </c>
      <c r="K2">
        <f t="shared" ref="K2:K65" si="2">IFERROR(ROUND(J2*0.21,0),"")</f>
        <v>315000</v>
      </c>
      <c r="L2">
        <f t="shared" ref="L2:L65" si="3">IF(OR(G2="",I2=""),"",G2+I2)</f>
        <v>1113525</v>
      </c>
      <c r="M2">
        <f t="shared" ref="M2:M65" si="4">IF(OR(G2="",K2=""),"",G2+K2)</f>
        <v>1166025</v>
      </c>
    </row>
    <row r="3" spans="1:13">
      <c r="A3" t="s">
        <v>13</v>
      </c>
      <c r="B3" t="s">
        <v>18</v>
      </c>
      <c r="C3" t="s">
        <v>15</v>
      </c>
      <c r="D3" t="s">
        <v>16</v>
      </c>
      <c r="E3" t="s">
        <v>17</v>
      </c>
      <c r="F3">
        <v>4360500</v>
      </c>
      <c r="G3">
        <f t="shared" si="0"/>
        <v>915705</v>
      </c>
      <c r="H3">
        <v>1250000</v>
      </c>
      <c r="I3">
        <f t="shared" si="1"/>
        <v>262500</v>
      </c>
      <c r="J3">
        <v>1500000</v>
      </c>
      <c r="K3">
        <f t="shared" si="2"/>
        <v>315000</v>
      </c>
      <c r="L3">
        <f t="shared" si="3"/>
        <v>1178205</v>
      </c>
      <c r="M3">
        <f t="shared" si="4"/>
        <v>1230705</v>
      </c>
    </row>
    <row r="4" spans="1:13">
      <c r="A4" t="s">
        <v>13</v>
      </c>
      <c r="B4" t="s">
        <v>19</v>
      </c>
      <c r="C4" t="s">
        <v>15</v>
      </c>
      <c r="D4" t="s">
        <v>16</v>
      </c>
      <c r="E4" t="s">
        <v>17</v>
      </c>
      <c r="F4">
        <v>4360500</v>
      </c>
      <c r="G4">
        <f t="shared" si="0"/>
        <v>915705</v>
      </c>
      <c r="H4">
        <v>1250000</v>
      </c>
      <c r="I4">
        <f t="shared" si="1"/>
        <v>262500</v>
      </c>
      <c r="J4">
        <v>1500000</v>
      </c>
      <c r="K4">
        <f t="shared" si="2"/>
        <v>315000</v>
      </c>
      <c r="L4">
        <f t="shared" si="3"/>
        <v>1178205</v>
      </c>
      <c r="M4">
        <f t="shared" si="4"/>
        <v>1230705</v>
      </c>
    </row>
    <row r="5" spans="1:13">
      <c r="A5" t="s">
        <v>13</v>
      </c>
      <c r="B5" t="s">
        <v>20</v>
      </c>
      <c r="C5" t="s">
        <v>15</v>
      </c>
      <c r="D5" t="s">
        <v>16</v>
      </c>
      <c r="E5" t="s">
        <v>17</v>
      </c>
      <c r="F5">
        <v>4360500</v>
      </c>
      <c r="G5">
        <f t="shared" si="0"/>
        <v>915705</v>
      </c>
      <c r="H5">
        <v>1250000</v>
      </c>
      <c r="I5">
        <f t="shared" si="1"/>
        <v>262500</v>
      </c>
      <c r="J5">
        <v>1500000</v>
      </c>
      <c r="K5">
        <f t="shared" si="2"/>
        <v>315000</v>
      </c>
      <c r="L5">
        <f t="shared" si="3"/>
        <v>1178205</v>
      </c>
      <c r="M5">
        <f t="shared" si="4"/>
        <v>1230705</v>
      </c>
    </row>
    <row r="6" spans="1:13">
      <c r="A6" t="s">
        <v>13</v>
      </c>
      <c r="B6" t="s">
        <v>21</v>
      </c>
      <c r="C6" t="s">
        <v>15</v>
      </c>
      <c r="D6" t="s">
        <v>16</v>
      </c>
      <c r="E6" t="s">
        <v>17</v>
      </c>
      <c r="F6">
        <v>4360500</v>
      </c>
      <c r="G6">
        <f t="shared" si="0"/>
        <v>915705</v>
      </c>
      <c r="H6">
        <v>1250000</v>
      </c>
      <c r="I6">
        <f t="shared" si="1"/>
        <v>262500</v>
      </c>
      <c r="J6">
        <v>1500000</v>
      </c>
      <c r="K6">
        <f t="shared" si="2"/>
        <v>315000</v>
      </c>
      <c r="L6">
        <f t="shared" si="3"/>
        <v>1178205</v>
      </c>
      <c r="M6">
        <f t="shared" si="4"/>
        <v>1230705</v>
      </c>
    </row>
    <row r="7" spans="1:13">
      <c r="A7" t="s">
        <v>13</v>
      </c>
      <c r="B7" t="s">
        <v>22</v>
      </c>
      <c r="C7" t="s">
        <v>15</v>
      </c>
      <c r="D7" t="s">
        <v>16</v>
      </c>
      <c r="E7" t="s">
        <v>17</v>
      </c>
      <c r="F7">
        <v>4001000</v>
      </c>
      <c r="G7">
        <f t="shared" si="0"/>
        <v>840210</v>
      </c>
      <c r="H7">
        <v>1250000</v>
      </c>
      <c r="I7">
        <f t="shared" si="1"/>
        <v>262500</v>
      </c>
      <c r="J7">
        <v>1500000</v>
      </c>
      <c r="K7">
        <f t="shared" si="2"/>
        <v>315000</v>
      </c>
      <c r="L7">
        <f t="shared" si="3"/>
        <v>1102710</v>
      </c>
      <c r="M7">
        <f t="shared" si="4"/>
        <v>1155210</v>
      </c>
    </row>
    <row r="8" spans="1:13">
      <c r="A8" t="s">
        <v>13</v>
      </c>
      <c r="B8" t="s">
        <v>23</v>
      </c>
      <c r="C8" t="s">
        <v>15</v>
      </c>
      <c r="D8" t="s">
        <v>16</v>
      </c>
      <c r="E8" t="s">
        <v>17</v>
      </c>
      <c r="F8">
        <v>4001000</v>
      </c>
      <c r="G8">
        <f t="shared" si="0"/>
        <v>840210</v>
      </c>
      <c r="H8">
        <v>1250000</v>
      </c>
      <c r="I8">
        <f t="shared" si="1"/>
        <v>262500</v>
      </c>
      <c r="J8">
        <v>1500000</v>
      </c>
      <c r="K8">
        <f t="shared" si="2"/>
        <v>315000</v>
      </c>
      <c r="L8">
        <f t="shared" si="3"/>
        <v>1102710</v>
      </c>
      <c r="M8">
        <f t="shared" si="4"/>
        <v>1155210</v>
      </c>
    </row>
    <row r="9" spans="1:13">
      <c r="A9" t="s">
        <v>13</v>
      </c>
      <c r="B9" t="s">
        <v>24</v>
      </c>
      <c r="C9" t="s">
        <v>15</v>
      </c>
      <c r="D9" t="s">
        <v>16</v>
      </c>
      <c r="E9" t="s">
        <v>17</v>
      </c>
      <c r="F9">
        <v>4001000</v>
      </c>
      <c r="G9">
        <f t="shared" si="0"/>
        <v>840210</v>
      </c>
      <c r="H9">
        <v>1250000</v>
      </c>
      <c r="I9">
        <f t="shared" si="1"/>
        <v>262500</v>
      </c>
      <c r="J9">
        <v>1500000</v>
      </c>
      <c r="K9">
        <f t="shared" si="2"/>
        <v>315000</v>
      </c>
      <c r="L9">
        <f t="shared" si="3"/>
        <v>1102710</v>
      </c>
      <c r="M9">
        <f t="shared" si="4"/>
        <v>1155210</v>
      </c>
    </row>
    <row r="10" spans="1:13">
      <c r="A10" t="s">
        <v>13</v>
      </c>
      <c r="B10" t="s">
        <v>25</v>
      </c>
      <c r="C10" t="s">
        <v>15</v>
      </c>
      <c r="D10" t="s">
        <v>16</v>
      </c>
      <c r="E10" t="s">
        <v>17</v>
      </c>
      <c r="G10">
        <f t="shared" si="0"/>
        <v>0</v>
      </c>
      <c r="H10">
        <v>1250000</v>
      </c>
      <c r="I10">
        <f t="shared" si="1"/>
        <v>262500</v>
      </c>
      <c r="J10">
        <v>1500000</v>
      </c>
      <c r="K10">
        <f t="shared" si="2"/>
        <v>315000</v>
      </c>
      <c r="L10">
        <f t="shared" si="3"/>
        <v>262500</v>
      </c>
      <c r="M10">
        <f t="shared" si="4"/>
        <v>315000</v>
      </c>
    </row>
    <row r="11" spans="1:13">
      <c r="A11" t="s">
        <v>13</v>
      </c>
      <c r="B11" t="s">
        <v>26</v>
      </c>
      <c r="C11" t="s">
        <v>15</v>
      </c>
      <c r="D11" t="s">
        <v>16</v>
      </c>
      <c r="E11" t="s">
        <v>17</v>
      </c>
      <c r="F11">
        <v>4001000</v>
      </c>
      <c r="G11">
        <f t="shared" si="0"/>
        <v>840210</v>
      </c>
      <c r="H11">
        <v>1250000</v>
      </c>
      <c r="I11">
        <f t="shared" si="1"/>
        <v>262500</v>
      </c>
      <c r="J11">
        <v>1500000</v>
      </c>
      <c r="K11">
        <f t="shared" si="2"/>
        <v>315000</v>
      </c>
      <c r="L11">
        <f t="shared" si="3"/>
        <v>1102710</v>
      </c>
      <c r="M11">
        <f t="shared" si="4"/>
        <v>1155210</v>
      </c>
    </row>
    <row r="12" spans="1:13">
      <c r="A12" t="s">
        <v>13</v>
      </c>
      <c r="B12" t="s">
        <v>27</v>
      </c>
      <c r="C12" t="s">
        <v>15</v>
      </c>
      <c r="D12" t="s">
        <v>16</v>
      </c>
      <c r="E12" t="s">
        <v>17</v>
      </c>
      <c r="F12">
        <v>4001000</v>
      </c>
      <c r="G12">
        <f t="shared" si="0"/>
        <v>840210</v>
      </c>
      <c r="H12">
        <v>1250000</v>
      </c>
      <c r="I12">
        <f t="shared" si="1"/>
        <v>262500</v>
      </c>
      <c r="J12">
        <v>1500000</v>
      </c>
      <c r="K12">
        <f t="shared" si="2"/>
        <v>315000</v>
      </c>
      <c r="L12">
        <f t="shared" si="3"/>
        <v>1102710</v>
      </c>
      <c r="M12">
        <f t="shared" si="4"/>
        <v>1155210</v>
      </c>
    </row>
    <row r="13" spans="1:13">
      <c r="A13" t="s">
        <v>13</v>
      </c>
      <c r="B13" t="s">
        <v>28</v>
      </c>
      <c r="C13" t="s">
        <v>15</v>
      </c>
      <c r="D13" t="s">
        <v>16</v>
      </c>
      <c r="E13" t="s">
        <v>17</v>
      </c>
      <c r="F13">
        <v>4001000</v>
      </c>
      <c r="G13">
        <f t="shared" si="0"/>
        <v>840210</v>
      </c>
      <c r="H13">
        <v>1250000</v>
      </c>
      <c r="I13">
        <f t="shared" si="1"/>
        <v>262500</v>
      </c>
      <c r="J13">
        <v>1500000</v>
      </c>
      <c r="K13">
        <f t="shared" si="2"/>
        <v>315000</v>
      </c>
      <c r="L13">
        <f t="shared" si="3"/>
        <v>1102710</v>
      </c>
      <c r="M13">
        <f t="shared" si="4"/>
        <v>1155210</v>
      </c>
    </row>
    <row r="14" spans="1:13">
      <c r="A14" t="s">
        <v>13</v>
      </c>
      <c r="B14" t="s">
        <v>29</v>
      </c>
      <c r="C14" t="s">
        <v>15</v>
      </c>
      <c r="D14" t="s">
        <v>16</v>
      </c>
      <c r="E14" t="s">
        <v>17</v>
      </c>
      <c r="F14">
        <v>4001000</v>
      </c>
      <c r="G14">
        <f t="shared" si="0"/>
        <v>840210</v>
      </c>
      <c r="H14">
        <v>1250000</v>
      </c>
      <c r="I14">
        <f t="shared" si="1"/>
        <v>262500</v>
      </c>
      <c r="J14">
        <v>1500000</v>
      </c>
      <c r="K14">
        <f t="shared" si="2"/>
        <v>315000</v>
      </c>
      <c r="L14">
        <f t="shared" si="3"/>
        <v>1102710</v>
      </c>
      <c r="M14">
        <f t="shared" si="4"/>
        <v>1155210</v>
      </c>
    </row>
    <row r="15" spans="1:13">
      <c r="A15" t="s">
        <v>13</v>
      </c>
      <c r="B15" t="s">
        <v>30</v>
      </c>
      <c r="C15" t="s">
        <v>15</v>
      </c>
      <c r="D15" t="s">
        <v>16</v>
      </c>
      <c r="E15" t="s">
        <v>17</v>
      </c>
      <c r="G15">
        <f t="shared" si="0"/>
        <v>0</v>
      </c>
      <c r="H15">
        <v>1250000</v>
      </c>
      <c r="I15">
        <f t="shared" si="1"/>
        <v>262500</v>
      </c>
      <c r="J15">
        <v>1500000</v>
      </c>
      <c r="K15">
        <f t="shared" si="2"/>
        <v>315000</v>
      </c>
      <c r="L15">
        <f t="shared" si="3"/>
        <v>262500</v>
      </c>
      <c r="M15">
        <f t="shared" si="4"/>
        <v>315000</v>
      </c>
    </row>
    <row r="16" spans="1:13">
      <c r="A16" t="s">
        <v>13</v>
      </c>
      <c r="B16" t="s">
        <v>31</v>
      </c>
      <c r="C16" t="s">
        <v>15</v>
      </c>
      <c r="D16" t="s">
        <v>16</v>
      </c>
      <c r="E16" t="s">
        <v>17</v>
      </c>
      <c r="F16">
        <v>4001000</v>
      </c>
      <c r="G16">
        <f t="shared" si="0"/>
        <v>840210</v>
      </c>
      <c r="H16">
        <v>1250000</v>
      </c>
      <c r="I16">
        <f t="shared" si="1"/>
        <v>262500</v>
      </c>
      <c r="J16">
        <v>1500000</v>
      </c>
      <c r="K16">
        <f t="shared" si="2"/>
        <v>315000</v>
      </c>
      <c r="L16">
        <f t="shared" si="3"/>
        <v>1102710</v>
      </c>
      <c r="M16">
        <f t="shared" si="4"/>
        <v>1155210</v>
      </c>
    </row>
    <row r="17" spans="1:13">
      <c r="A17" t="s">
        <v>13</v>
      </c>
      <c r="B17" t="s">
        <v>32</v>
      </c>
      <c r="C17" t="s">
        <v>15</v>
      </c>
      <c r="D17" t="s">
        <v>16</v>
      </c>
      <c r="E17" t="s">
        <v>17</v>
      </c>
      <c r="F17">
        <v>4001000</v>
      </c>
      <c r="G17">
        <f t="shared" si="0"/>
        <v>840210</v>
      </c>
      <c r="H17">
        <v>1250000</v>
      </c>
      <c r="I17">
        <f t="shared" si="1"/>
        <v>262500</v>
      </c>
      <c r="J17">
        <v>1500000</v>
      </c>
      <c r="K17">
        <f t="shared" si="2"/>
        <v>315000</v>
      </c>
      <c r="L17">
        <f t="shared" si="3"/>
        <v>1102710</v>
      </c>
      <c r="M17">
        <f t="shared" si="4"/>
        <v>1155210</v>
      </c>
    </row>
    <row r="18" spans="1:13">
      <c r="A18" t="s">
        <v>13</v>
      </c>
      <c r="B18" t="s">
        <v>33</v>
      </c>
      <c r="C18" t="s">
        <v>15</v>
      </c>
      <c r="D18" t="s">
        <v>16</v>
      </c>
      <c r="E18" t="s">
        <v>17</v>
      </c>
      <c r="F18">
        <v>3310500</v>
      </c>
      <c r="G18">
        <f t="shared" si="0"/>
        <v>695205</v>
      </c>
      <c r="H18">
        <v>1250000</v>
      </c>
      <c r="I18">
        <f t="shared" si="1"/>
        <v>262500</v>
      </c>
      <c r="J18">
        <v>1500000</v>
      </c>
      <c r="K18">
        <f t="shared" si="2"/>
        <v>315000</v>
      </c>
      <c r="L18">
        <f t="shared" si="3"/>
        <v>957705</v>
      </c>
      <c r="M18">
        <f t="shared" si="4"/>
        <v>1010205</v>
      </c>
    </row>
    <row r="19" spans="1:13">
      <c r="A19" t="s">
        <v>13</v>
      </c>
      <c r="B19" t="s">
        <v>34</v>
      </c>
      <c r="C19" t="s">
        <v>15</v>
      </c>
      <c r="D19" t="s">
        <v>16</v>
      </c>
      <c r="E19" t="s">
        <v>17</v>
      </c>
      <c r="F19">
        <v>4001000</v>
      </c>
      <c r="G19">
        <f t="shared" si="0"/>
        <v>840210</v>
      </c>
      <c r="H19">
        <v>1250000</v>
      </c>
      <c r="I19">
        <f t="shared" si="1"/>
        <v>262500</v>
      </c>
      <c r="J19">
        <v>1500000</v>
      </c>
      <c r="K19">
        <f t="shared" si="2"/>
        <v>315000</v>
      </c>
      <c r="L19">
        <f t="shared" si="3"/>
        <v>1102710</v>
      </c>
      <c r="M19">
        <f t="shared" si="4"/>
        <v>1155210</v>
      </c>
    </row>
    <row r="20" spans="1:13">
      <c r="A20" t="s">
        <v>13</v>
      </c>
      <c r="B20" t="s">
        <v>35</v>
      </c>
      <c r="C20" t="s">
        <v>15</v>
      </c>
      <c r="D20" t="s">
        <v>16</v>
      </c>
      <c r="E20" t="s">
        <v>17</v>
      </c>
      <c r="F20">
        <v>4001000</v>
      </c>
      <c r="G20">
        <f t="shared" si="0"/>
        <v>840210</v>
      </c>
      <c r="H20">
        <v>1250000</v>
      </c>
      <c r="I20">
        <f t="shared" si="1"/>
        <v>262500</v>
      </c>
      <c r="J20">
        <v>1500000</v>
      </c>
      <c r="K20">
        <f t="shared" si="2"/>
        <v>315000</v>
      </c>
      <c r="L20">
        <f t="shared" si="3"/>
        <v>1102710</v>
      </c>
      <c r="M20">
        <f t="shared" si="4"/>
        <v>1155210</v>
      </c>
    </row>
    <row r="21" spans="1:13">
      <c r="A21" t="s">
        <v>13</v>
      </c>
      <c r="B21" t="s">
        <v>36</v>
      </c>
      <c r="C21" t="s">
        <v>15</v>
      </c>
      <c r="D21" t="s">
        <v>16</v>
      </c>
      <c r="E21" t="s">
        <v>17</v>
      </c>
      <c r="F21">
        <v>4001000</v>
      </c>
      <c r="G21">
        <f t="shared" si="0"/>
        <v>840210</v>
      </c>
      <c r="H21">
        <v>1250000</v>
      </c>
      <c r="I21">
        <f t="shared" si="1"/>
        <v>262500</v>
      </c>
      <c r="J21">
        <v>1500000</v>
      </c>
      <c r="K21">
        <f t="shared" si="2"/>
        <v>315000</v>
      </c>
      <c r="L21">
        <f t="shared" si="3"/>
        <v>1102710</v>
      </c>
      <c r="M21">
        <f t="shared" si="4"/>
        <v>1155210</v>
      </c>
    </row>
    <row r="22" spans="1:13">
      <c r="A22" t="s">
        <v>13</v>
      </c>
      <c r="B22" t="s">
        <v>37</v>
      </c>
      <c r="C22" t="s">
        <v>15</v>
      </c>
      <c r="D22" t="s">
        <v>16</v>
      </c>
      <c r="E22" t="s">
        <v>17</v>
      </c>
      <c r="F22">
        <v>4001000</v>
      </c>
      <c r="G22">
        <f t="shared" si="0"/>
        <v>840210</v>
      </c>
      <c r="H22">
        <v>1250000</v>
      </c>
      <c r="I22">
        <f t="shared" si="1"/>
        <v>262500</v>
      </c>
      <c r="J22">
        <v>1500000</v>
      </c>
      <c r="K22">
        <f t="shared" si="2"/>
        <v>315000</v>
      </c>
      <c r="L22">
        <f t="shared" si="3"/>
        <v>1102710</v>
      </c>
      <c r="M22">
        <f t="shared" si="4"/>
        <v>1155210</v>
      </c>
    </row>
    <row r="23" spans="1:13">
      <c r="A23" t="s">
        <v>13</v>
      </c>
      <c r="B23" t="s">
        <v>38</v>
      </c>
      <c r="C23" t="s">
        <v>15</v>
      </c>
      <c r="D23" t="s">
        <v>16</v>
      </c>
      <c r="E23" t="s">
        <v>17</v>
      </c>
      <c r="F23">
        <v>4001000</v>
      </c>
      <c r="G23">
        <f t="shared" si="0"/>
        <v>840210</v>
      </c>
      <c r="H23">
        <v>1250000</v>
      </c>
      <c r="I23">
        <f t="shared" si="1"/>
        <v>262500</v>
      </c>
      <c r="J23">
        <v>1500000</v>
      </c>
      <c r="K23">
        <f t="shared" si="2"/>
        <v>315000</v>
      </c>
      <c r="L23">
        <f t="shared" si="3"/>
        <v>1102710</v>
      </c>
      <c r="M23">
        <f t="shared" si="4"/>
        <v>1155210</v>
      </c>
    </row>
    <row r="24" spans="1:13">
      <c r="A24" t="s">
        <v>13</v>
      </c>
      <c r="B24" t="s">
        <v>39</v>
      </c>
      <c r="C24" t="s">
        <v>15</v>
      </c>
      <c r="D24" t="s">
        <v>16</v>
      </c>
      <c r="E24" t="s">
        <v>17</v>
      </c>
      <c r="F24">
        <v>4001000</v>
      </c>
      <c r="G24">
        <f t="shared" si="0"/>
        <v>840210</v>
      </c>
      <c r="H24">
        <v>1250000</v>
      </c>
      <c r="I24">
        <f t="shared" si="1"/>
        <v>262500</v>
      </c>
      <c r="J24">
        <v>1500000</v>
      </c>
      <c r="K24">
        <f t="shared" si="2"/>
        <v>315000</v>
      </c>
      <c r="L24">
        <f t="shared" si="3"/>
        <v>1102710</v>
      </c>
      <c r="M24">
        <f t="shared" si="4"/>
        <v>1155210</v>
      </c>
    </row>
    <row r="25" spans="1:13">
      <c r="A25" t="s">
        <v>13</v>
      </c>
      <c r="B25" t="s">
        <v>40</v>
      </c>
      <c r="C25" t="s">
        <v>15</v>
      </c>
      <c r="D25" t="s">
        <v>16</v>
      </c>
      <c r="E25" t="s">
        <v>17</v>
      </c>
      <c r="F25">
        <v>4001000</v>
      </c>
      <c r="G25">
        <f t="shared" si="0"/>
        <v>840210</v>
      </c>
      <c r="H25">
        <v>1250000</v>
      </c>
      <c r="I25">
        <f t="shared" si="1"/>
        <v>262500</v>
      </c>
      <c r="J25">
        <v>1500000</v>
      </c>
      <c r="K25">
        <f t="shared" si="2"/>
        <v>315000</v>
      </c>
      <c r="L25">
        <f t="shared" si="3"/>
        <v>1102710</v>
      </c>
      <c r="M25">
        <f t="shared" si="4"/>
        <v>1155210</v>
      </c>
    </row>
    <row r="26" spans="1:13">
      <c r="A26" t="s">
        <v>13</v>
      </c>
      <c r="B26" t="s">
        <v>41</v>
      </c>
      <c r="C26" t="s">
        <v>15</v>
      </c>
      <c r="D26" t="s">
        <v>16</v>
      </c>
      <c r="E26" t="s">
        <v>17</v>
      </c>
      <c r="F26">
        <v>3310500</v>
      </c>
      <c r="G26">
        <f t="shared" si="0"/>
        <v>695205</v>
      </c>
      <c r="H26">
        <v>1250000</v>
      </c>
      <c r="I26">
        <f t="shared" si="1"/>
        <v>262500</v>
      </c>
      <c r="J26">
        <v>1500000</v>
      </c>
      <c r="K26">
        <f t="shared" si="2"/>
        <v>315000</v>
      </c>
      <c r="L26">
        <f t="shared" si="3"/>
        <v>957705</v>
      </c>
      <c r="M26">
        <f t="shared" si="4"/>
        <v>1010205</v>
      </c>
    </row>
    <row r="27" spans="1:13">
      <c r="A27" t="s">
        <v>13</v>
      </c>
      <c r="B27" t="s">
        <v>42</v>
      </c>
      <c r="C27" t="s">
        <v>15</v>
      </c>
      <c r="D27" t="s">
        <v>16</v>
      </c>
      <c r="E27" t="s">
        <v>17</v>
      </c>
      <c r="F27">
        <v>3310500</v>
      </c>
      <c r="G27">
        <f t="shared" si="0"/>
        <v>695205</v>
      </c>
      <c r="H27">
        <v>1250000</v>
      </c>
      <c r="I27">
        <f t="shared" si="1"/>
        <v>262500</v>
      </c>
      <c r="J27">
        <v>1500000</v>
      </c>
      <c r="K27">
        <f t="shared" si="2"/>
        <v>315000</v>
      </c>
      <c r="L27">
        <f t="shared" si="3"/>
        <v>957705</v>
      </c>
      <c r="M27">
        <f t="shared" si="4"/>
        <v>1010205</v>
      </c>
    </row>
    <row r="28" spans="1:13">
      <c r="A28" t="s">
        <v>13</v>
      </c>
      <c r="B28" t="s">
        <v>43</v>
      </c>
      <c r="C28" t="s">
        <v>15</v>
      </c>
      <c r="D28" t="s">
        <v>16</v>
      </c>
      <c r="E28" t="s">
        <v>17</v>
      </c>
      <c r="F28">
        <v>4001000</v>
      </c>
      <c r="G28">
        <f t="shared" si="0"/>
        <v>840210</v>
      </c>
      <c r="H28">
        <v>1250000</v>
      </c>
      <c r="I28">
        <f t="shared" si="1"/>
        <v>262500</v>
      </c>
      <c r="J28">
        <v>1500000</v>
      </c>
      <c r="K28">
        <f t="shared" si="2"/>
        <v>315000</v>
      </c>
      <c r="L28">
        <f t="shared" si="3"/>
        <v>1102710</v>
      </c>
      <c r="M28">
        <f t="shared" si="4"/>
        <v>1155210</v>
      </c>
    </row>
    <row r="29" spans="1:13">
      <c r="A29" t="s">
        <v>13</v>
      </c>
      <c r="B29" t="s">
        <v>44</v>
      </c>
      <c r="C29" t="s">
        <v>15</v>
      </c>
      <c r="D29" t="s">
        <v>16</v>
      </c>
      <c r="E29" t="s">
        <v>17</v>
      </c>
      <c r="F29">
        <v>4001000</v>
      </c>
      <c r="G29">
        <f t="shared" si="0"/>
        <v>840210</v>
      </c>
      <c r="H29">
        <v>1250000</v>
      </c>
      <c r="I29">
        <f t="shared" si="1"/>
        <v>262500</v>
      </c>
      <c r="J29">
        <v>1500000</v>
      </c>
      <c r="K29">
        <f t="shared" si="2"/>
        <v>315000</v>
      </c>
      <c r="L29">
        <f t="shared" si="3"/>
        <v>1102710</v>
      </c>
      <c r="M29">
        <f t="shared" si="4"/>
        <v>1155210</v>
      </c>
    </row>
    <row r="30" spans="1:13">
      <c r="A30" t="s">
        <v>13</v>
      </c>
      <c r="B30" t="s">
        <v>45</v>
      </c>
      <c r="C30" t="s">
        <v>15</v>
      </c>
      <c r="D30" t="s">
        <v>16</v>
      </c>
      <c r="E30" t="s">
        <v>17</v>
      </c>
      <c r="F30">
        <v>4200000</v>
      </c>
      <c r="G30">
        <f t="shared" si="0"/>
        <v>882000</v>
      </c>
      <c r="H30">
        <v>1250000</v>
      </c>
      <c r="I30">
        <f t="shared" si="1"/>
        <v>262500</v>
      </c>
      <c r="J30">
        <v>1500000</v>
      </c>
      <c r="K30">
        <f t="shared" si="2"/>
        <v>315000</v>
      </c>
      <c r="L30">
        <f t="shared" si="3"/>
        <v>1144500</v>
      </c>
      <c r="M30">
        <f t="shared" si="4"/>
        <v>1197000</v>
      </c>
    </row>
    <row r="31" spans="1:13">
      <c r="A31" t="s">
        <v>13</v>
      </c>
      <c r="B31" t="s">
        <v>46</v>
      </c>
      <c r="C31" t="s">
        <v>15</v>
      </c>
      <c r="D31" t="s">
        <v>16</v>
      </c>
      <c r="E31" t="s">
        <v>17</v>
      </c>
      <c r="F31">
        <v>4200000</v>
      </c>
      <c r="G31">
        <f t="shared" si="0"/>
        <v>882000</v>
      </c>
      <c r="H31">
        <v>1250000</v>
      </c>
      <c r="I31">
        <f t="shared" si="1"/>
        <v>262500</v>
      </c>
      <c r="J31">
        <v>1500000</v>
      </c>
      <c r="K31">
        <f t="shared" si="2"/>
        <v>315000</v>
      </c>
      <c r="L31">
        <f t="shared" si="3"/>
        <v>1144500</v>
      </c>
      <c r="M31">
        <f t="shared" si="4"/>
        <v>1197000</v>
      </c>
    </row>
    <row r="32" spans="1:13">
      <c r="A32" t="s">
        <v>13</v>
      </c>
      <c r="B32" t="s">
        <v>47</v>
      </c>
      <c r="C32" t="s">
        <v>15</v>
      </c>
      <c r="D32" t="s">
        <v>16</v>
      </c>
      <c r="E32" t="s">
        <v>17</v>
      </c>
      <c r="F32">
        <v>4200000</v>
      </c>
      <c r="G32">
        <f t="shared" si="0"/>
        <v>882000</v>
      </c>
      <c r="H32">
        <v>1250000</v>
      </c>
      <c r="I32">
        <f t="shared" si="1"/>
        <v>262500</v>
      </c>
      <c r="J32">
        <v>1500000</v>
      </c>
      <c r="K32">
        <f t="shared" si="2"/>
        <v>315000</v>
      </c>
      <c r="L32">
        <f t="shared" si="3"/>
        <v>1144500</v>
      </c>
      <c r="M32">
        <f t="shared" si="4"/>
        <v>1197000</v>
      </c>
    </row>
    <row r="33" spans="1:13">
      <c r="A33" t="s">
        <v>13</v>
      </c>
      <c r="B33" t="s">
        <v>48</v>
      </c>
      <c r="C33" t="s">
        <v>16</v>
      </c>
      <c r="D33" t="s">
        <v>15</v>
      </c>
      <c r="E33" t="s">
        <v>17</v>
      </c>
      <c r="G33">
        <f t="shared" si="0"/>
        <v>0</v>
      </c>
      <c r="H33">
        <v>1250000</v>
      </c>
      <c r="I33">
        <f t="shared" si="1"/>
        <v>262500</v>
      </c>
      <c r="J33">
        <v>1500000</v>
      </c>
      <c r="K33">
        <f t="shared" si="2"/>
        <v>315000</v>
      </c>
      <c r="L33">
        <f t="shared" si="3"/>
        <v>262500</v>
      </c>
      <c r="M33">
        <f t="shared" si="4"/>
        <v>315000</v>
      </c>
    </row>
    <row r="34" spans="1:13">
      <c r="A34" t="s">
        <v>13</v>
      </c>
      <c r="B34" t="s">
        <v>49</v>
      </c>
      <c r="C34" t="s">
        <v>15</v>
      </c>
      <c r="D34" t="s">
        <v>16</v>
      </c>
      <c r="E34" t="s">
        <v>50</v>
      </c>
      <c r="F34">
        <v>3267000</v>
      </c>
      <c r="G34">
        <f t="shared" si="0"/>
        <v>686070</v>
      </c>
      <c r="H34">
        <v>1250000</v>
      </c>
      <c r="I34">
        <f t="shared" si="1"/>
        <v>262500</v>
      </c>
      <c r="J34">
        <v>1500000</v>
      </c>
      <c r="K34">
        <f t="shared" si="2"/>
        <v>315000</v>
      </c>
      <c r="L34">
        <f t="shared" si="3"/>
        <v>948570</v>
      </c>
      <c r="M34">
        <f t="shared" si="4"/>
        <v>1001070</v>
      </c>
    </row>
    <row r="35" spans="1:13">
      <c r="A35" t="s">
        <v>13</v>
      </c>
      <c r="B35" t="s">
        <v>51</v>
      </c>
      <c r="C35" t="s">
        <v>15</v>
      </c>
      <c r="D35" t="s">
        <v>16</v>
      </c>
      <c r="E35" t="s">
        <v>50</v>
      </c>
      <c r="F35">
        <v>3636000</v>
      </c>
      <c r="G35">
        <f t="shared" si="0"/>
        <v>763560</v>
      </c>
      <c r="H35">
        <v>1250000</v>
      </c>
      <c r="I35">
        <f t="shared" si="1"/>
        <v>262500</v>
      </c>
      <c r="J35">
        <v>1500000</v>
      </c>
      <c r="K35">
        <f t="shared" si="2"/>
        <v>315000</v>
      </c>
      <c r="L35">
        <f t="shared" si="3"/>
        <v>1026060</v>
      </c>
      <c r="M35">
        <f t="shared" si="4"/>
        <v>1078560</v>
      </c>
    </row>
    <row r="36" spans="1:13">
      <c r="A36" t="s">
        <v>13</v>
      </c>
      <c r="B36" t="s">
        <v>23</v>
      </c>
      <c r="C36" t="s">
        <v>15</v>
      </c>
      <c r="D36" t="s">
        <v>16</v>
      </c>
      <c r="E36" t="s">
        <v>50</v>
      </c>
      <c r="F36">
        <v>3636000</v>
      </c>
      <c r="G36">
        <f t="shared" si="0"/>
        <v>763560</v>
      </c>
      <c r="H36">
        <v>1250000</v>
      </c>
      <c r="I36">
        <f t="shared" si="1"/>
        <v>262500</v>
      </c>
      <c r="J36">
        <v>1500000</v>
      </c>
      <c r="K36">
        <f t="shared" si="2"/>
        <v>315000</v>
      </c>
      <c r="L36">
        <f t="shared" si="3"/>
        <v>1026060</v>
      </c>
      <c r="M36">
        <f t="shared" si="4"/>
        <v>1078560</v>
      </c>
    </row>
    <row r="37" spans="1:13">
      <c r="A37" t="s">
        <v>13</v>
      </c>
      <c r="B37" t="s">
        <v>24</v>
      </c>
      <c r="C37" t="s">
        <v>15</v>
      </c>
      <c r="D37" t="s">
        <v>16</v>
      </c>
      <c r="E37" t="s">
        <v>50</v>
      </c>
      <c r="F37">
        <v>3636000</v>
      </c>
      <c r="G37">
        <f t="shared" si="0"/>
        <v>763560</v>
      </c>
      <c r="H37">
        <v>1250000</v>
      </c>
      <c r="I37">
        <f t="shared" si="1"/>
        <v>262500</v>
      </c>
      <c r="J37">
        <v>1500000</v>
      </c>
      <c r="K37">
        <f t="shared" si="2"/>
        <v>315000</v>
      </c>
      <c r="L37">
        <f t="shared" si="3"/>
        <v>1026060</v>
      </c>
      <c r="M37">
        <f t="shared" si="4"/>
        <v>1078560</v>
      </c>
    </row>
    <row r="38" spans="1:13">
      <c r="A38" t="s">
        <v>13</v>
      </c>
      <c r="B38" t="s">
        <v>52</v>
      </c>
      <c r="C38" t="s">
        <v>15</v>
      </c>
      <c r="D38" t="s">
        <v>16</v>
      </c>
      <c r="E38" t="s">
        <v>50</v>
      </c>
      <c r="F38">
        <v>3636000</v>
      </c>
      <c r="G38">
        <f t="shared" si="0"/>
        <v>763560</v>
      </c>
      <c r="H38">
        <v>1250000</v>
      </c>
      <c r="I38">
        <f t="shared" si="1"/>
        <v>262500</v>
      </c>
      <c r="J38">
        <v>1500000</v>
      </c>
      <c r="K38">
        <f t="shared" si="2"/>
        <v>315000</v>
      </c>
      <c r="L38">
        <f t="shared" si="3"/>
        <v>1026060</v>
      </c>
      <c r="M38">
        <f t="shared" si="4"/>
        <v>1078560</v>
      </c>
    </row>
    <row r="39" spans="1:13">
      <c r="A39" t="s">
        <v>13</v>
      </c>
      <c r="B39" t="s">
        <v>53</v>
      </c>
      <c r="C39" t="s">
        <v>15</v>
      </c>
      <c r="D39" t="s">
        <v>16</v>
      </c>
      <c r="E39" t="s">
        <v>50</v>
      </c>
      <c r="F39">
        <v>3636000</v>
      </c>
      <c r="G39">
        <f t="shared" si="0"/>
        <v>763560</v>
      </c>
      <c r="H39">
        <v>1250000</v>
      </c>
      <c r="I39">
        <f t="shared" si="1"/>
        <v>262500</v>
      </c>
      <c r="J39">
        <v>1500000</v>
      </c>
      <c r="K39">
        <f t="shared" si="2"/>
        <v>315000</v>
      </c>
      <c r="L39">
        <f t="shared" si="3"/>
        <v>1026060</v>
      </c>
      <c r="M39">
        <f t="shared" si="4"/>
        <v>1078560</v>
      </c>
    </row>
    <row r="40" spans="1:13">
      <c r="A40" t="s">
        <v>13</v>
      </c>
      <c r="B40" t="s">
        <v>54</v>
      </c>
      <c r="C40" t="s">
        <v>15</v>
      </c>
      <c r="D40" t="s">
        <v>16</v>
      </c>
      <c r="E40" t="s">
        <v>50</v>
      </c>
      <c r="F40">
        <v>3636000</v>
      </c>
      <c r="G40">
        <f t="shared" si="0"/>
        <v>763560</v>
      </c>
      <c r="H40">
        <v>1250000</v>
      </c>
      <c r="I40">
        <f t="shared" si="1"/>
        <v>262500</v>
      </c>
      <c r="J40">
        <v>1500000</v>
      </c>
      <c r="K40">
        <f t="shared" si="2"/>
        <v>315000</v>
      </c>
      <c r="L40">
        <f t="shared" si="3"/>
        <v>1026060</v>
      </c>
      <c r="M40">
        <f t="shared" si="4"/>
        <v>1078560</v>
      </c>
    </row>
    <row r="41" spans="1:13">
      <c r="A41" t="s">
        <v>13</v>
      </c>
      <c r="B41" t="s">
        <v>55</v>
      </c>
      <c r="C41" t="s">
        <v>15</v>
      </c>
      <c r="D41" t="s">
        <v>16</v>
      </c>
      <c r="E41" t="s">
        <v>50</v>
      </c>
      <c r="F41">
        <v>3636000</v>
      </c>
      <c r="G41">
        <f t="shared" si="0"/>
        <v>763560</v>
      </c>
      <c r="H41">
        <v>1250000</v>
      </c>
      <c r="I41">
        <f t="shared" si="1"/>
        <v>262500</v>
      </c>
      <c r="J41">
        <v>1500000</v>
      </c>
      <c r="K41">
        <f t="shared" si="2"/>
        <v>315000</v>
      </c>
      <c r="L41">
        <f t="shared" si="3"/>
        <v>1026060</v>
      </c>
      <c r="M41">
        <f t="shared" si="4"/>
        <v>1078560</v>
      </c>
    </row>
    <row r="42" spans="1:13">
      <c r="A42" t="s">
        <v>13</v>
      </c>
      <c r="B42" t="s">
        <v>25</v>
      </c>
      <c r="C42" t="s">
        <v>15</v>
      </c>
      <c r="D42" t="s">
        <v>16</v>
      </c>
      <c r="E42" t="s">
        <v>50</v>
      </c>
      <c r="F42">
        <v>3267000</v>
      </c>
      <c r="G42">
        <f t="shared" si="0"/>
        <v>686070</v>
      </c>
      <c r="H42">
        <v>1250000</v>
      </c>
      <c r="I42">
        <f t="shared" si="1"/>
        <v>262500</v>
      </c>
      <c r="J42">
        <v>1500000</v>
      </c>
      <c r="K42">
        <f t="shared" si="2"/>
        <v>315000</v>
      </c>
      <c r="L42">
        <f t="shared" si="3"/>
        <v>948570</v>
      </c>
      <c r="M42">
        <f t="shared" si="4"/>
        <v>1001070</v>
      </c>
    </row>
    <row r="43" spans="1:13">
      <c r="A43" t="s">
        <v>13</v>
      </c>
      <c r="B43" t="s">
        <v>56</v>
      </c>
      <c r="C43" t="s">
        <v>15</v>
      </c>
      <c r="D43" t="s">
        <v>16</v>
      </c>
      <c r="E43" t="s">
        <v>50</v>
      </c>
      <c r="F43">
        <v>3267000</v>
      </c>
      <c r="G43">
        <f t="shared" si="0"/>
        <v>686070</v>
      </c>
      <c r="H43">
        <v>1250000</v>
      </c>
      <c r="I43">
        <f t="shared" si="1"/>
        <v>262500</v>
      </c>
      <c r="J43">
        <v>1500000</v>
      </c>
      <c r="K43">
        <f t="shared" si="2"/>
        <v>315000</v>
      </c>
      <c r="L43">
        <f t="shared" si="3"/>
        <v>948570</v>
      </c>
      <c r="M43">
        <f t="shared" si="4"/>
        <v>1001070</v>
      </c>
    </row>
    <row r="44" spans="1:13">
      <c r="A44" t="s">
        <v>13</v>
      </c>
      <c r="B44" t="s">
        <v>26</v>
      </c>
      <c r="C44" t="s">
        <v>15</v>
      </c>
      <c r="D44" t="s">
        <v>16</v>
      </c>
      <c r="E44" t="s">
        <v>50</v>
      </c>
      <c r="F44">
        <v>3267000</v>
      </c>
      <c r="G44">
        <f t="shared" si="0"/>
        <v>686070</v>
      </c>
      <c r="H44">
        <v>1250000</v>
      </c>
      <c r="I44">
        <f t="shared" si="1"/>
        <v>262500</v>
      </c>
      <c r="J44">
        <v>1500000</v>
      </c>
      <c r="K44">
        <f t="shared" si="2"/>
        <v>315000</v>
      </c>
      <c r="L44">
        <f t="shared" si="3"/>
        <v>948570</v>
      </c>
      <c r="M44">
        <f t="shared" si="4"/>
        <v>1001070</v>
      </c>
    </row>
    <row r="45" spans="1:13">
      <c r="A45" t="s">
        <v>13</v>
      </c>
      <c r="B45" t="s">
        <v>33</v>
      </c>
      <c r="C45" t="s">
        <v>15</v>
      </c>
      <c r="D45" t="s">
        <v>16</v>
      </c>
      <c r="E45" t="s">
        <v>50</v>
      </c>
      <c r="F45">
        <v>3267000</v>
      </c>
      <c r="G45">
        <f t="shared" si="0"/>
        <v>686070</v>
      </c>
      <c r="H45">
        <v>1250000</v>
      </c>
      <c r="I45">
        <f t="shared" si="1"/>
        <v>262500</v>
      </c>
      <c r="J45">
        <v>1500000</v>
      </c>
      <c r="K45">
        <f t="shared" si="2"/>
        <v>315000</v>
      </c>
      <c r="L45">
        <f t="shared" si="3"/>
        <v>948570</v>
      </c>
      <c r="M45">
        <f t="shared" si="4"/>
        <v>1001070</v>
      </c>
    </row>
    <row r="46" spans="1:13">
      <c r="A46" t="s">
        <v>13</v>
      </c>
      <c r="B46" t="s">
        <v>57</v>
      </c>
      <c r="C46" t="s">
        <v>15</v>
      </c>
      <c r="D46" t="s">
        <v>16</v>
      </c>
      <c r="E46" t="s">
        <v>50</v>
      </c>
      <c r="F46">
        <v>3267000</v>
      </c>
      <c r="G46">
        <f t="shared" si="0"/>
        <v>686070</v>
      </c>
      <c r="H46">
        <v>1250000</v>
      </c>
      <c r="I46">
        <f t="shared" si="1"/>
        <v>262500</v>
      </c>
      <c r="J46">
        <v>1500000</v>
      </c>
      <c r="K46">
        <f t="shared" si="2"/>
        <v>315000</v>
      </c>
      <c r="L46">
        <f t="shared" si="3"/>
        <v>948570</v>
      </c>
      <c r="M46">
        <f t="shared" si="4"/>
        <v>1001070</v>
      </c>
    </row>
    <row r="47" spans="1:13">
      <c r="A47" t="s">
        <v>13</v>
      </c>
      <c r="B47" t="s">
        <v>32</v>
      </c>
      <c r="C47" t="s">
        <v>15</v>
      </c>
      <c r="D47" t="s">
        <v>16</v>
      </c>
      <c r="E47" t="s">
        <v>50</v>
      </c>
      <c r="F47">
        <v>3636000</v>
      </c>
      <c r="G47">
        <f t="shared" si="0"/>
        <v>763560</v>
      </c>
      <c r="H47">
        <v>1250000</v>
      </c>
      <c r="I47">
        <f t="shared" si="1"/>
        <v>262500</v>
      </c>
      <c r="J47">
        <v>1500000</v>
      </c>
      <c r="K47">
        <f t="shared" si="2"/>
        <v>315000</v>
      </c>
      <c r="L47">
        <f t="shared" si="3"/>
        <v>1026060</v>
      </c>
      <c r="M47">
        <f t="shared" si="4"/>
        <v>1078560</v>
      </c>
    </row>
    <row r="48" spans="1:13">
      <c r="A48" t="s">
        <v>13</v>
      </c>
      <c r="B48" t="s">
        <v>58</v>
      </c>
      <c r="C48" t="s">
        <v>15</v>
      </c>
      <c r="D48" t="s">
        <v>16</v>
      </c>
      <c r="E48" t="s">
        <v>50</v>
      </c>
      <c r="F48">
        <v>3636000</v>
      </c>
      <c r="G48">
        <f t="shared" si="0"/>
        <v>763560</v>
      </c>
      <c r="H48">
        <v>1250000</v>
      </c>
      <c r="I48">
        <f t="shared" si="1"/>
        <v>262500</v>
      </c>
      <c r="J48">
        <v>1500000</v>
      </c>
      <c r="K48">
        <f t="shared" si="2"/>
        <v>315000</v>
      </c>
      <c r="L48">
        <f t="shared" si="3"/>
        <v>1026060</v>
      </c>
      <c r="M48">
        <f t="shared" si="4"/>
        <v>1078560</v>
      </c>
    </row>
    <row r="49" spans="1:13">
      <c r="A49" t="s">
        <v>13</v>
      </c>
      <c r="B49" t="s">
        <v>59</v>
      </c>
      <c r="C49" t="s">
        <v>15</v>
      </c>
      <c r="D49" t="s">
        <v>16</v>
      </c>
      <c r="E49" t="s">
        <v>50</v>
      </c>
      <c r="F49">
        <v>3267000</v>
      </c>
      <c r="G49">
        <f t="shared" si="0"/>
        <v>686070</v>
      </c>
      <c r="H49">
        <v>1250000</v>
      </c>
      <c r="I49">
        <f t="shared" si="1"/>
        <v>262500</v>
      </c>
      <c r="J49">
        <v>1500000</v>
      </c>
      <c r="K49">
        <f t="shared" si="2"/>
        <v>315000</v>
      </c>
      <c r="L49">
        <f t="shared" si="3"/>
        <v>948570</v>
      </c>
      <c r="M49">
        <f t="shared" si="4"/>
        <v>1001070</v>
      </c>
    </row>
    <row r="50" spans="1:13">
      <c r="A50" t="s">
        <v>13</v>
      </c>
      <c r="B50" t="s">
        <v>60</v>
      </c>
      <c r="C50" t="s">
        <v>15</v>
      </c>
      <c r="D50" t="s">
        <v>16</v>
      </c>
      <c r="E50" t="s">
        <v>50</v>
      </c>
      <c r="F50">
        <v>3267000</v>
      </c>
      <c r="G50">
        <f t="shared" si="0"/>
        <v>686070</v>
      </c>
      <c r="H50">
        <v>1250000</v>
      </c>
      <c r="I50">
        <f t="shared" si="1"/>
        <v>262500</v>
      </c>
      <c r="J50">
        <v>1500000</v>
      </c>
      <c r="K50">
        <f t="shared" si="2"/>
        <v>315000</v>
      </c>
      <c r="L50">
        <f t="shared" si="3"/>
        <v>948570</v>
      </c>
      <c r="M50">
        <f t="shared" si="4"/>
        <v>1001070</v>
      </c>
    </row>
    <row r="51" spans="1:13">
      <c r="A51" t="s">
        <v>13</v>
      </c>
      <c r="B51" t="s">
        <v>34</v>
      </c>
      <c r="C51" t="s">
        <v>15</v>
      </c>
      <c r="D51" t="s">
        <v>16</v>
      </c>
      <c r="E51" t="s">
        <v>50</v>
      </c>
      <c r="F51">
        <v>3636000</v>
      </c>
      <c r="G51">
        <f t="shared" si="0"/>
        <v>763560</v>
      </c>
      <c r="H51">
        <v>1250000</v>
      </c>
      <c r="I51">
        <f t="shared" si="1"/>
        <v>262500</v>
      </c>
      <c r="J51">
        <v>1500000</v>
      </c>
      <c r="K51">
        <f t="shared" si="2"/>
        <v>315000</v>
      </c>
      <c r="L51">
        <f t="shared" si="3"/>
        <v>1026060</v>
      </c>
      <c r="M51">
        <f t="shared" si="4"/>
        <v>1078560</v>
      </c>
    </row>
    <row r="52" spans="1:13">
      <c r="A52" t="s">
        <v>13</v>
      </c>
      <c r="B52" t="s">
        <v>61</v>
      </c>
      <c r="C52" t="s">
        <v>15</v>
      </c>
      <c r="D52" t="s">
        <v>16</v>
      </c>
      <c r="E52" t="s">
        <v>50</v>
      </c>
      <c r="F52">
        <v>3636000</v>
      </c>
      <c r="G52">
        <f t="shared" si="0"/>
        <v>763560</v>
      </c>
      <c r="H52">
        <v>1250000</v>
      </c>
      <c r="I52">
        <f t="shared" si="1"/>
        <v>262500</v>
      </c>
      <c r="J52">
        <v>1500000</v>
      </c>
      <c r="K52">
        <f t="shared" si="2"/>
        <v>315000</v>
      </c>
      <c r="L52">
        <f t="shared" si="3"/>
        <v>1026060</v>
      </c>
      <c r="M52">
        <f t="shared" si="4"/>
        <v>1078560</v>
      </c>
    </row>
    <row r="53" spans="1:13">
      <c r="A53" t="s">
        <v>13</v>
      </c>
      <c r="B53" t="s">
        <v>36</v>
      </c>
      <c r="C53" t="s">
        <v>15</v>
      </c>
      <c r="D53" t="s">
        <v>16</v>
      </c>
      <c r="E53" t="s">
        <v>50</v>
      </c>
      <c r="F53">
        <v>3636000</v>
      </c>
      <c r="G53">
        <f t="shared" si="0"/>
        <v>763560</v>
      </c>
      <c r="H53">
        <v>1250000</v>
      </c>
      <c r="I53">
        <f t="shared" si="1"/>
        <v>262500</v>
      </c>
      <c r="J53">
        <v>1500000</v>
      </c>
      <c r="K53">
        <f t="shared" si="2"/>
        <v>315000</v>
      </c>
      <c r="L53">
        <f t="shared" si="3"/>
        <v>1026060</v>
      </c>
      <c r="M53">
        <f t="shared" si="4"/>
        <v>1078560</v>
      </c>
    </row>
    <row r="54" spans="1:13">
      <c r="A54" t="s">
        <v>13</v>
      </c>
      <c r="B54" t="s">
        <v>62</v>
      </c>
      <c r="C54" t="s">
        <v>15</v>
      </c>
      <c r="D54" t="s">
        <v>16</v>
      </c>
      <c r="E54" t="s">
        <v>50</v>
      </c>
      <c r="F54">
        <v>3636000</v>
      </c>
      <c r="G54">
        <f t="shared" si="0"/>
        <v>763560</v>
      </c>
      <c r="H54">
        <v>1250000</v>
      </c>
      <c r="I54">
        <f t="shared" si="1"/>
        <v>262500</v>
      </c>
      <c r="J54">
        <v>1500000</v>
      </c>
      <c r="K54">
        <f t="shared" si="2"/>
        <v>315000</v>
      </c>
      <c r="L54">
        <f t="shared" si="3"/>
        <v>1026060</v>
      </c>
      <c r="M54">
        <f t="shared" si="4"/>
        <v>1078560</v>
      </c>
    </row>
    <row r="55" spans="1:13">
      <c r="A55" t="s">
        <v>13</v>
      </c>
      <c r="B55" t="s">
        <v>38</v>
      </c>
      <c r="C55" t="s">
        <v>15</v>
      </c>
      <c r="D55" t="s">
        <v>16</v>
      </c>
      <c r="E55" t="s">
        <v>50</v>
      </c>
      <c r="F55">
        <v>3636000</v>
      </c>
      <c r="G55">
        <f t="shared" si="0"/>
        <v>763560</v>
      </c>
      <c r="H55">
        <v>1250000</v>
      </c>
      <c r="I55">
        <f t="shared" si="1"/>
        <v>262500</v>
      </c>
      <c r="J55">
        <v>1500000</v>
      </c>
      <c r="K55">
        <f t="shared" si="2"/>
        <v>315000</v>
      </c>
      <c r="L55">
        <f t="shared" si="3"/>
        <v>1026060</v>
      </c>
      <c r="M55">
        <f t="shared" si="4"/>
        <v>1078560</v>
      </c>
    </row>
    <row r="56" spans="1:13">
      <c r="A56" t="s">
        <v>13</v>
      </c>
      <c r="B56" t="s">
        <v>40</v>
      </c>
      <c r="C56" t="s">
        <v>15</v>
      </c>
      <c r="D56" t="s">
        <v>16</v>
      </c>
      <c r="E56" t="s">
        <v>50</v>
      </c>
      <c r="F56">
        <v>3636000</v>
      </c>
      <c r="G56">
        <f t="shared" si="0"/>
        <v>763560</v>
      </c>
      <c r="H56">
        <v>1250000</v>
      </c>
      <c r="I56">
        <f t="shared" si="1"/>
        <v>262500</v>
      </c>
      <c r="J56">
        <v>1500000</v>
      </c>
      <c r="K56">
        <f t="shared" si="2"/>
        <v>315000</v>
      </c>
      <c r="L56">
        <f t="shared" si="3"/>
        <v>1026060</v>
      </c>
      <c r="M56">
        <f t="shared" si="4"/>
        <v>1078560</v>
      </c>
    </row>
    <row r="57" spans="1:13">
      <c r="A57" t="s">
        <v>13</v>
      </c>
      <c r="B57" t="s">
        <v>39</v>
      </c>
      <c r="C57" t="s">
        <v>15</v>
      </c>
      <c r="D57" t="s">
        <v>16</v>
      </c>
      <c r="E57" t="s">
        <v>50</v>
      </c>
      <c r="F57">
        <v>3636000</v>
      </c>
      <c r="G57">
        <f t="shared" si="0"/>
        <v>763560</v>
      </c>
      <c r="H57">
        <v>1250000</v>
      </c>
      <c r="I57">
        <f t="shared" si="1"/>
        <v>262500</v>
      </c>
      <c r="J57">
        <v>1500000</v>
      </c>
      <c r="K57">
        <f t="shared" si="2"/>
        <v>315000</v>
      </c>
      <c r="L57">
        <f t="shared" si="3"/>
        <v>1026060</v>
      </c>
      <c r="M57">
        <f t="shared" si="4"/>
        <v>1078560</v>
      </c>
    </row>
    <row r="58" spans="1:13">
      <c r="A58" t="s">
        <v>13</v>
      </c>
      <c r="B58" t="s">
        <v>63</v>
      </c>
      <c r="C58" t="s">
        <v>15</v>
      </c>
      <c r="D58" t="s">
        <v>16</v>
      </c>
      <c r="E58" t="s">
        <v>50</v>
      </c>
      <c r="F58">
        <v>3636000</v>
      </c>
      <c r="G58">
        <f t="shared" si="0"/>
        <v>763560</v>
      </c>
      <c r="H58">
        <v>1250000</v>
      </c>
      <c r="I58">
        <f t="shared" si="1"/>
        <v>262500</v>
      </c>
      <c r="J58">
        <v>1500000</v>
      </c>
      <c r="K58">
        <f t="shared" si="2"/>
        <v>315000</v>
      </c>
      <c r="L58">
        <f t="shared" si="3"/>
        <v>1026060</v>
      </c>
      <c r="M58">
        <f t="shared" si="4"/>
        <v>1078560</v>
      </c>
    </row>
    <row r="59" spans="1:13">
      <c r="A59" t="s">
        <v>13</v>
      </c>
      <c r="B59" t="s">
        <v>41</v>
      </c>
      <c r="C59" t="s">
        <v>15</v>
      </c>
      <c r="D59" t="s">
        <v>16</v>
      </c>
      <c r="E59" t="s">
        <v>50</v>
      </c>
      <c r="F59">
        <v>3267000</v>
      </c>
      <c r="G59">
        <f t="shared" si="0"/>
        <v>686070</v>
      </c>
      <c r="H59">
        <v>1250000</v>
      </c>
      <c r="I59">
        <f t="shared" si="1"/>
        <v>262500</v>
      </c>
      <c r="J59">
        <v>1500000</v>
      </c>
      <c r="K59">
        <f t="shared" si="2"/>
        <v>315000</v>
      </c>
      <c r="L59">
        <f t="shared" si="3"/>
        <v>948570</v>
      </c>
      <c r="M59">
        <f t="shared" si="4"/>
        <v>1001070</v>
      </c>
    </row>
    <row r="60" spans="1:13">
      <c r="A60" t="s">
        <v>13</v>
      </c>
      <c r="B60" t="s">
        <v>42</v>
      </c>
      <c r="C60" t="s">
        <v>15</v>
      </c>
      <c r="D60" t="s">
        <v>16</v>
      </c>
      <c r="E60" t="s">
        <v>50</v>
      </c>
      <c r="F60">
        <v>3267000</v>
      </c>
      <c r="G60">
        <f t="shared" si="0"/>
        <v>686070</v>
      </c>
      <c r="H60">
        <v>1250000</v>
      </c>
      <c r="I60">
        <f t="shared" si="1"/>
        <v>262500</v>
      </c>
      <c r="J60">
        <v>1500000</v>
      </c>
      <c r="K60">
        <f t="shared" si="2"/>
        <v>315000</v>
      </c>
      <c r="L60">
        <f t="shared" si="3"/>
        <v>948570</v>
      </c>
      <c r="M60">
        <f t="shared" si="4"/>
        <v>1001070</v>
      </c>
    </row>
    <row r="61" spans="1:13">
      <c r="A61" t="s">
        <v>13</v>
      </c>
      <c r="B61" t="s">
        <v>43</v>
      </c>
      <c r="C61" t="s">
        <v>15</v>
      </c>
      <c r="D61" t="s">
        <v>16</v>
      </c>
      <c r="E61" t="s">
        <v>50</v>
      </c>
      <c r="F61">
        <v>3267000</v>
      </c>
      <c r="G61">
        <f t="shared" si="0"/>
        <v>686070</v>
      </c>
      <c r="H61">
        <v>1250000</v>
      </c>
      <c r="I61">
        <f t="shared" si="1"/>
        <v>262500</v>
      </c>
      <c r="J61">
        <v>1500000</v>
      </c>
      <c r="K61">
        <f t="shared" si="2"/>
        <v>315000</v>
      </c>
      <c r="L61">
        <f t="shared" si="3"/>
        <v>948570</v>
      </c>
      <c r="M61">
        <f t="shared" si="4"/>
        <v>1001070</v>
      </c>
    </row>
    <row r="62" spans="1:13">
      <c r="A62" t="s">
        <v>13</v>
      </c>
      <c r="B62" t="s">
        <v>64</v>
      </c>
      <c r="C62" t="s">
        <v>15</v>
      </c>
      <c r="D62" t="s">
        <v>16</v>
      </c>
      <c r="E62" t="s">
        <v>50</v>
      </c>
      <c r="F62">
        <v>3500000</v>
      </c>
      <c r="G62">
        <f t="shared" si="0"/>
        <v>735000</v>
      </c>
      <c r="H62">
        <v>1250000</v>
      </c>
      <c r="I62">
        <f t="shared" si="1"/>
        <v>262500</v>
      </c>
      <c r="J62">
        <v>1500000</v>
      </c>
      <c r="K62">
        <f t="shared" si="2"/>
        <v>315000</v>
      </c>
      <c r="L62">
        <f t="shared" si="3"/>
        <v>997500</v>
      </c>
      <c r="M62">
        <f t="shared" si="4"/>
        <v>1050000</v>
      </c>
    </row>
    <row r="63" spans="1:13">
      <c r="A63" t="s">
        <v>13</v>
      </c>
      <c r="B63" t="s">
        <v>64</v>
      </c>
      <c r="C63" t="s">
        <v>15</v>
      </c>
      <c r="D63" t="s">
        <v>16</v>
      </c>
      <c r="E63" t="s">
        <v>65</v>
      </c>
      <c r="F63">
        <v>4500000</v>
      </c>
      <c r="G63">
        <f t="shared" si="0"/>
        <v>945000</v>
      </c>
      <c r="H63">
        <v>1250000</v>
      </c>
      <c r="I63">
        <f t="shared" si="1"/>
        <v>262500</v>
      </c>
      <c r="J63">
        <v>1500000</v>
      </c>
      <c r="K63">
        <f t="shared" si="2"/>
        <v>315000</v>
      </c>
      <c r="L63">
        <f t="shared" si="3"/>
        <v>1207500</v>
      </c>
      <c r="M63">
        <f t="shared" si="4"/>
        <v>1260000</v>
      </c>
    </row>
    <row r="64" spans="1:13">
      <c r="A64" t="s">
        <v>13</v>
      </c>
      <c r="B64" t="s">
        <v>66</v>
      </c>
      <c r="C64" t="s">
        <v>15</v>
      </c>
      <c r="D64" t="s">
        <v>16</v>
      </c>
      <c r="E64" t="s">
        <v>50</v>
      </c>
      <c r="F64">
        <v>3500000</v>
      </c>
      <c r="G64">
        <f t="shared" si="0"/>
        <v>735000</v>
      </c>
      <c r="H64">
        <v>1250000</v>
      </c>
      <c r="I64">
        <f t="shared" si="1"/>
        <v>262500</v>
      </c>
      <c r="J64">
        <v>1500000</v>
      </c>
      <c r="K64">
        <f t="shared" si="2"/>
        <v>315000</v>
      </c>
      <c r="L64">
        <f t="shared" si="3"/>
        <v>997500</v>
      </c>
      <c r="M64">
        <f t="shared" si="4"/>
        <v>1050000</v>
      </c>
    </row>
    <row r="65" spans="1:13">
      <c r="A65" t="s">
        <v>13</v>
      </c>
      <c r="B65" t="s">
        <v>66</v>
      </c>
      <c r="C65" t="s">
        <v>15</v>
      </c>
      <c r="D65" t="s">
        <v>16</v>
      </c>
      <c r="E65" t="s">
        <v>65</v>
      </c>
      <c r="F65">
        <v>4500000</v>
      </c>
      <c r="G65">
        <f t="shared" si="0"/>
        <v>945000</v>
      </c>
      <c r="H65">
        <v>1250000</v>
      </c>
      <c r="I65">
        <f t="shared" si="1"/>
        <v>262500</v>
      </c>
      <c r="J65">
        <v>1500000</v>
      </c>
      <c r="K65">
        <f t="shared" si="2"/>
        <v>315000</v>
      </c>
      <c r="L65">
        <f t="shared" si="3"/>
        <v>1207500</v>
      </c>
      <c r="M65">
        <f t="shared" si="4"/>
        <v>1260000</v>
      </c>
    </row>
    <row r="66" spans="1:13">
      <c r="A66" t="s">
        <v>13</v>
      </c>
      <c r="B66" t="s">
        <v>67</v>
      </c>
      <c r="C66" t="s">
        <v>15</v>
      </c>
      <c r="D66" t="s">
        <v>16</v>
      </c>
      <c r="E66" t="s">
        <v>50</v>
      </c>
      <c r="F66">
        <v>3500000</v>
      </c>
      <c r="G66">
        <f t="shared" ref="G66:G71" si="5">IFERROR(ROUND(F66*0.21,0),"")</f>
        <v>735000</v>
      </c>
      <c r="H66">
        <v>1250000</v>
      </c>
      <c r="I66">
        <f t="shared" ref="I66:I71" si="6">IFERROR(ROUND(H66*0.21,0),"")</f>
        <v>262500</v>
      </c>
      <c r="J66">
        <v>1500000</v>
      </c>
      <c r="K66">
        <f t="shared" ref="K66:K71" si="7">IFERROR(ROUND(J66*0.21,0),"")</f>
        <v>315000</v>
      </c>
      <c r="L66">
        <f t="shared" ref="L66:L71" si="8">IF(OR(G66="",I66=""),"",G66+I66)</f>
        <v>997500</v>
      </c>
      <c r="M66">
        <f t="shared" ref="M66:M71" si="9">IF(OR(G66="",K66=""),"",G66+K66)</f>
        <v>1050000</v>
      </c>
    </row>
    <row r="67" spans="1:13">
      <c r="A67" t="s">
        <v>13</v>
      </c>
      <c r="B67" t="s">
        <v>67</v>
      </c>
      <c r="C67" t="s">
        <v>15</v>
      </c>
      <c r="D67" t="s">
        <v>16</v>
      </c>
      <c r="E67" t="s">
        <v>65</v>
      </c>
      <c r="F67">
        <v>4500000</v>
      </c>
      <c r="G67">
        <f t="shared" si="5"/>
        <v>945000</v>
      </c>
      <c r="H67">
        <v>1250000</v>
      </c>
      <c r="I67">
        <f t="shared" si="6"/>
        <v>262500</v>
      </c>
      <c r="J67">
        <v>1500000</v>
      </c>
      <c r="K67">
        <f t="shared" si="7"/>
        <v>315000</v>
      </c>
      <c r="L67">
        <f t="shared" si="8"/>
        <v>1207500</v>
      </c>
      <c r="M67">
        <f t="shared" si="9"/>
        <v>1260000</v>
      </c>
    </row>
    <row r="68" spans="1:13">
      <c r="A68" t="s">
        <v>13</v>
      </c>
      <c r="B68" t="s">
        <v>68</v>
      </c>
      <c r="C68" t="s">
        <v>15</v>
      </c>
      <c r="D68" t="s">
        <v>16</v>
      </c>
      <c r="E68" t="s">
        <v>50</v>
      </c>
      <c r="F68">
        <v>3500000</v>
      </c>
      <c r="G68">
        <f t="shared" si="5"/>
        <v>735000</v>
      </c>
      <c r="H68">
        <v>1250000</v>
      </c>
      <c r="I68">
        <f t="shared" si="6"/>
        <v>262500</v>
      </c>
      <c r="J68">
        <v>1500000</v>
      </c>
      <c r="K68">
        <f t="shared" si="7"/>
        <v>315000</v>
      </c>
      <c r="L68">
        <f t="shared" si="8"/>
        <v>997500</v>
      </c>
      <c r="M68">
        <f t="shared" si="9"/>
        <v>1050000</v>
      </c>
    </row>
    <row r="69" spans="1:13">
      <c r="A69" t="s">
        <v>13</v>
      </c>
      <c r="B69" t="s">
        <v>68</v>
      </c>
      <c r="C69" t="s">
        <v>15</v>
      </c>
      <c r="D69" t="s">
        <v>16</v>
      </c>
      <c r="E69" t="s">
        <v>65</v>
      </c>
      <c r="F69">
        <v>4500000</v>
      </c>
      <c r="G69">
        <f t="shared" si="5"/>
        <v>945000</v>
      </c>
      <c r="H69">
        <v>1250000</v>
      </c>
      <c r="I69">
        <f t="shared" si="6"/>
        <v>262500</v>
      </c>
      <c r="J69">
        <v>1500000</v>
      </c>
      <c r="K69">
        <f t="shared" si="7"/>
        <v>315000</v>
      </c>
      <c r="L69">
        <f t="shared" si="8"/>
        <v>1207500</v>
      </c>
      <c r="M69">
        <f t="shared" si="9"/>
        <v>1260000</v>
      </c>
    </row>
    <row r="70" spans="1:13">
      <c r="A70" t="s">
        <v>13</v>
      </c>
      <c r="B70" t="s">
        <v>69</v>
      </c>
      <c r="C70" t="s">
        <v>15</v>
      </c>
      <c r="D70" t="s">
        <v>16</v>
      </c>
      <c r="E70" t="s">
        <v>50</v>
      </c>
      <c r="F70">
        <v>3500000</v>
      </c>
      <c r="G70">
        <f t="shared" si="5"/>
        <v>735000</v>
      </c>
      <c r="H70">
        <v>1250000</v>
      </c>
      <c r="I70">
        <f t="shared" si="6"/>
        <v>262500</v>
      </c>
      <c r="J70">
        <v>1500000</v>
      </c>
      <c r="K70">
        <f t="shared" si="7"/>
        <v>315000</v>
      </c>
      <c r="L70">
        <f t="shared" si="8"/>
        <v>997500</v>
      </c>
      <c r="M70">
        <f t="shared" si="9"/>
        <v>1050000</v>
      </c>
    </row>
    <row r="71" spans="1:13">
      <c r="A71" t="s">
        <v>13</v>
      </c>
      <c r="B71" t="s">
        <v>69</v>
      </c>
      <c r="C71" t="s">
        <v>15</v>
      </c>
      <c r="D71" t="s">
        <v>16</v>
      </c>
      <c r="E71" t="s">
        <v>65</v>
      </c>
      <c r="F71">
        <v>4500000</v>
      </c>
      <c r="G71">
        <f t="shared" si="5"/>
        <v>945000</v>
      </c>
      <c r="H71">
        <v>1250000</v>
      </c>
      <c r="I71">
        <f t="shared" si="6"/>
        <v>262500</v>
      </c>
      <c r="J71">
        <v>1500000</v>
      </c>
      <c r="K71">
        <f t="shared" si="7"/>
        <v>315000</v>
      </c>
      <c r="L71">
        <f t="shared" si="8"/>
        <v>1207500</v>
      </c>
      <c r="M71">
        <f t="shared" si="9"/>
        <v>1260000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5"/>
  <sheetViews>
    <sheetView zoomScale="112" workbookViewId="0">
      <pane ySplit="1" topLeftCell="A104" activePane="bottomLeft" state="frozen"/>
      <selection pane="bottomLeft" activeCell="B100" sqref="B100"/>
    </sheetView>
  </sheetViews>
  <sheetFormatPr defaultRowHeight="15"/>
  <cols>
    <col min="1" max="1" width="22" customWidth="1"/>
    <col min="2" max="2" width="40" customWidth="1"/>
    <col min="3" max="16" width="22" customWidth="1"/>
  </cols>
  <sheetData>
    <row r="1" spans="1:16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70</v>
      </c>
      <c r="I1" s="4" t="s">
        <v>71</v>
      </c>
      <c r="J1" s="5" t="s">
        <v>72</v>
      </c>
      <c r="K1" s="4" t="s">
        <v>73</v>
      </c>
      <c r="L1" s="4" t="s">
        <v>74</v>
      </c>
      <c r="M1" s="5" t="s">
        <v>75</v>
      </c>
      <c r="N1" s="4" t="s">
        <v>76</v>
      </c>
      <c r="O1" s="4" t="s">
        <v>77</v>
      </c>
      <c r="P1" s="5" t="s">
        <v>78</v>
      </c>
    </row>
    <row r="2" spans="1:16">
      <c r="A2" t="s">
        <v>79</v>
      </c>
      <c r="B2" t="s">
        <v>80</v>
      </c>
      <c r="C2" t="s">
        <v>15</v>
      </c>
      <c r="D2" t="s">
        <v>16</v>
      </c>
      <c r="E2" t="s">
        <v>17</v>
      </c>
      <c r="F2">
        <v>2016000</v>
      </c>
      <c r="G2">
        <f>IF(F2="","",F2*Parameters!$B$1)</f>
        <v>423360</v>
      </c>
      <c r="H2">
        <v>1000</v>
      </c>
      <c r="I2">
        <f>IF(H2="","",H2*Parameters!$B$2)</f>
        <v>320000</v>
      </c>
      <c r="J2">
        <f t="shared" ref="J2:J65" si="0">IF(OR(G2="",I2=""),"",G2+I2)</f>
        <v>743360</v>
      </c>
      <c r="K2">
        <v>450</v>
      </c>
      <c r="L2">
        <f>IF(K2="","",K2*Parameters!$B$2)</f>
        <v>144000</v>
      </c>
      <c r="M2">
        <f t="shared" ref="M2:M65" si="1">IF(OR(G2="",L2=""),"",G2+L2)</f>
        <v>567360</v>
      </c>
      <c r="N2">
        <v>520</v>
      </c>
      <c r="O2">
        <f>IF(N2="","",N2*Parameters!$B$2)</f>
        <v>166400</v>
      </c>
      <c r="P2">
        <f t="shared" ref="P2:P65" si="2">IF(OR(G2="",O2=""),"",G2+O2)</f>
        <v>589760</v>
      </c>
    </row>
    <row r="3" spans="1:16">
      <c r="A3" t="s">
        <v>79</v>
      </c>
      <c r="B3" t="s">
        <v>81</v>
      </c>
      <c r="C3" t="s">
        <v>15</v>
      </c>
      <c r="D3" t="s">
        <v>16</v>
      </c>
      <c r="E3" t="s">
        <v>17</v>
      </c>
      <c r="F3">
        <v>2016000</v>
      </c>
      <c r="G3">
        <f>IF(F3="","",F3*Parameters!$B$1)</f>
        <v>423360</v>
      </c>
      <c r="H3">
        <v>1000</v>
      </c>
      <c r="I3">
        <f>IF(H3="","",H3*Parameters!$B$2)</f>
        <v>320000</v>
      </c>
      <c r="J3">
        <f t="shared" si="0"/>
        <v>743360</v>
      </c>
      <c r="K3">
        <v>450</v>
      </c>
      <c r="L3">
        <f>IF(K3="","",K3*Parameters!$B$2)</f>
        <v>144000</v>
      </c>
      <c r="M3">
        <f t="shared" si="1"/>
        <v>567360</v>
      </c>
      <c r="N3">
        <v>520</v>
      </c>
      <c r="O3">
        <f>IF(N3="","",N3*Parameters!$B$2)</f>
        <v>166400</v>
      </c>
      <c r="P3">
        <f t="shared" si="2"/>
        <v>589760</v>
      </c>
    </row>
    <row r="4" spans="1:16">
      <c r="A4" t="s">
        <v>79</v>
      </c>
      <c r="B4" t="s">
        <v>82</v>
      </c>
      <c r="C4" t="s">
        <v>15</v>
      </c>
      <c r="D4" t="s">
        <v>16</v>
      </c>
      <c r="E4" t="s">
        <v>17</v>
      </c>
      <c r="F4">
        <v>2016000</v>
      </c>
      <c r="G4">
        <f>IF(F4="","",F4*Parameters!$B$1)</f>
        <v>423360</v>
      </c>
      <c r="H4">
        <v>1000</v>
      </c>
      <c r="I4">
        <f>IF(H4="","",H4*Parameters!$B$2)</f>
        <v>320000</v>
      </c>
      <c r="J4">
        <f t="shared" si="0"/>
        <v>743360</v>
      </c>
      <c r="K4">
        <v>450</v>
      </c>
      <c r="L4">
        <f>IF(K4="","",K4*Parameters!$B$2)</f>
        <v>144000</v>
      </c>
      <c r="M4">
        <f t="shared" si="1"/>
        <v>567360</v>
      </c>
      <c r="N4">
        <v>520</v>
      </c>
      <c r="O4">
        <f>IF(N4="","",N4*Parameters!$B$2)</f>
        <v>166400</v>
      </c>
      <c r="P4">
        <f t="shared" si="2"/>
        <v>589760</v>
      </c>
    </row>
    <row r="5" spans="1:16">
      <c r="A5" t="s">
        <v>79</v>
      </c>
      <c r="B5" s="1" t="s">
        <v>83</v>
      </c>
      <c r="C5" t="s">
        <v>16</v>
      </c>
      <c r="D5" t="s">
        <v>15</v>
      </c>
      <c r="E5" t="s">
        <v>17</v>
      </c>
      <c r="F5">
        <v>2016000</v>
      </c>
      <c r="G5">
        <f>IF(F5="","",F5*Parameters!$B$1)</f>
        <v>423360</v>
      </c>
      <c r="H5">
        <v>1000</v>
      </c>
      <c r="I5">
        <f>IF(H5="","",H5*Parameters!$B$2)</f>
        <v>320000</v>
      </c>
      <c r="J5">
        <f t="shared" si="0"/>
        <v>743360</v>
      </c>
      <c r="K5">
        <v>450</v>
      </c>
      <c r="L5">
        <f>IF(K5="","",K5*Parameters!$B$2)</f>
        <v>144000</v>
      </c>
      <c r="M5">
        <f t="shared" si="1"/>
        <v>567360</v>
      </c>
      <c r="N5">
        <v>520</v>
      </c>
      <c r="O5">
        <f>IF(N5="","",N5*Parameters!$B$2)</f>
        <v>166400</v>
      </c>
      <c r="P5">
        <f t="shared" si="2"/>
        <v>589760</v>
      </c>
    </row>
    <row r="6" spans="1:16">
      <c r="A6" t="s">
        <v>79</v>
      </c>
      <c r="B6" t="s">
        <v>84</v>
      </c>
      <c r="C6" t="s">
        <v>16</v>
      </c>
      <c r="D6" t="s">
        <v>15</v>
      </c>
      <c r="E6" t="s">
        <v>17</v>
      </c>
      <c r="F6">
        <v>2016000</v>
      </c>
      <c r="G6">
        <f>IF(F6="","",F6*Parameters!$B$1)</f>
        <v>423360</v>
      </c>
      <c r="H6">
        <v>1000</v>
      </c>
      <c r="I6">
        <f>IF(H6="","",H6*Parameters!$B$2)</f>
        <v>320000</v>
      </c>
      <c r="J6">
        <f t="shared" si="0"/>
        <v>743360</v>
      </c>
      <c r="K6">
        <v>450</v>
      </c>
      <c r="L6">
        <f>IF(K6="","",K6*Parameters!$B$2)</f>
        <v>144000</v>
      </c>
      <c r="M6">
        <f t="shared" si="1"/>
        <v>567360</v>
      </c>
      <c r="N6">
        <v>520</v>
      </c>
      <c r="O6">
        <f>IF(N6="","",N6*Parameters!$B$2)</f>
        <v>166400</v>
      </c>
      <c r="P6">
        <f t="shared" si="2"/>
        <v>589760</v>
      </c>
    </row>
    <row r="7" spans="1:16">
      <c r="A7" t="s">
        <v>79</v>
      </c>
      <c r="B7" t="s">
        <v>85</v>
      </c>
      <c r="C7" t="s">
        <v>15</v>
      </c>
      <c r="D7" t="s">
        <v>16</v>
      </c>
      <c r="E7" t="s">
        <v>17</v>
      </c>
      <c r="F7">
        <v>2704000</v>
      </c>
      <c r="G7">
        <f>IF(F7="","",F7*Parameters!$B$1)</f>
        <v>567840</v>
      </c>
      <c r="H7">
        <v>1000</v>
      </c>
      <c r="I7">
        <f>IF(H7="","",H7*Parameters!$B$2)</f>
        <v>320000</v>
      </c>
      <c r="J7">
        <f t="shared" si="0"/>
        <v>887840</v>
      </c>
      <c r="K7">
        <v>450</v>
      </c>
      <c r="L7">
        <f>IF(K7="","",K7*Parameters!$B$2)</f>
        <v>144000</v>
      </c>
      <c r="M7">
        <f t="shared" si="1"/>
        <v>711840</v>
      </c>
      <c r="N7">
        <v>520</v>
      </c>
      <c r="O7">
        <f>IF(N7="","",N7*Parameters!$B$2)</f>
        <v>166400</v>
      </c>
      <c r="P7">
        <f t="shared" si="2"/>
        <v>734240</v>
      </c>
    </row>
    <row r="8" spans="1:16">
      <c r="A8" t="s">
        <v>79</v>
      </c>
      <c r="B8" t="s">
        <v>86</v>
      </c>
      <c r="C8" t="s">
        <v>15</v>
      </c>
      <c r="D8" t="s">
        <v>16</v>
      </c>
      <c r="E8" t="s">
        <v>17</v>
      </c>
      <c r="F8">
        <v>2016000</v>
      </c>
      <c r="G8">
        <f>IF(F8="","",F8*Parameters!$B$1)</f>
        <v>423360</v>
      </c>
      <c r="H8">
        <v>1000</v>
      </c>
      <c r="I8">
        <f>IF(H8="","",H8*Parameters!$B$2)</f>
        <v>320000</v>
      </c>
      <c r="J8">
        <f t="shared" si="0"/>
        <v>743360</v>
      </c>
      <c r="K8">
        <v>450</v>
      </c>
      <c r="L8">
        <f>IF(K8="","",K8*Parameters!$B$2)</f>
        <v>144000</v>
      </c>
      <c r="M8">
        <f t="shared" si="1"/>
        <v>567360</v>
      </c>
      <c r="N8">
        <v>520</v>
      </c>
      <c r="O8">
        <f>IF(N8="","",N8*Parameters!$B$2)</f>
        <v>166400</v>
      </c>
      <c r="P8">
        <f t="shared" si="2"/>
        <v>589760</v>
      </c>
    </row>
    <row r="9" spans="1:16">
      <c r="A9" t="s">
        <v>79</v>
      </c>
      <c r="B9" t="s">
        <v>87</v>
      </c>
      <c r="C9" t="s">
        <v>15</v>
      </c>
      <c r="D9" t="s">
        <v>16</v>
      </c>
      <c r="E9" t="s">
        <v>17</v>
      </c>
      <c r="F9">
        <v>2016000</v>
      </c>
      <c r="G9">
        <f>IF(F9="","",F9*Parameters!$B$1)</f>
        <v>423360</v>
      </c>
      <c r="H9">
        <v>1000</v>
      </c>
      <c r="I9">
        <f>IF(H9="","",H9*Parameters!$B$2)</f>
        <v>320000</v>
      </c>
      <c r="J9">
        <f t="shared" si="0"/>
        <v>743360</v>
      </c>
      <c r="K9">
        <v>450</v>
      </c>
      <c r="L9">
        <f>IF(K9="","",K9*Parameters!$B$2)</f>
        <v>144000</v>
      </c>
      <c r="M9">
        <f t="shared" si="1"/>
        <v>567360</v>
      </c>
      <c r="N9">
        <v>520</v>
      </c>
      <c r="O9">
        <f>IF(N9="","",N9*Parameters!$B$2)</f>
        <v>166400</v>
      </c>
      <c r="P9">
        <f t="shared" si="2"/>
        <v>589760</v>
      </c>
    </row>
    <row r="10" spans="1:16">
      <c r="A10" t="s">
        <v>79</v>
      </c>
      <c r="B10" t="s">
        <v>88</v>
      </c>
      <c r="C10" t="s">
        <v>15</v>
      </c>
      <c r="D10" t="s">
        <v>16</v>
      </c>
      <c r="E10" t="s">
        <v>17</v>
      </c>
      <c r="F10">
        <v>2704000</v>
      </c>
      <c r="G10">
        <f>IF(F10="","",F10*Parameters!$B$1)</f>
        <v>567840</v>
      </c>
      <c r="H10">
        <v>1000</v>
      </c>
      <c r="I10">
        <f>IF(H10="","",H10*Parameters!$B$2)</f>
        <v>320000</v>
      </c>
      <c r="J10">
        <f t="shared" si="0"/>
        <v>887840</v>
      </c>
      <c r="K10">
        <v>450</v>
      </c>
      <c r="L10">
        <f>IF(K10="","",K10*Parameters!$B$2)</f>
        <v>144000</v>
      </c>
      <c r="M10">
        <f t="shared" si="1"/>
        <v>711840</v>
      </c>
      <c r="N10">
        <v>520</v>
      </c>
      <c r="O10">
        <f>IF(N10="","",N10*Parameters!$B$2)</f>
        <v>166400</v>
      </c>
      <c r="P10">
        <f t="shared" si="2"/>
        <v>734240</v>
      </c>
    </row>
    <row r="11" spans="1:16">
      <c r="A11" t="s">
        <v>79</v>
      </c>
      <c r="B11" t="s">
        <v>89</v>
      </c>
      <c r="C11" t="s">
        <v>15</v>
      </c>
      <c r="D11" t="s">
        <v>16</v>
      </c>
      <c r="E11" t="s">
        <v>17</v>
      </c>
      <c r="F11">
        <v>2704000</v>
      </c>
      <c r="G11">
        <f>IF(F11="","",F11*Parameters!$B$1)</f>
        <v>567840</v>
      </c>
      <c r="H11">
        <v>1000</v>
      </c>
      <c r="I11">
        <f>IF(H11="","",H11*Parameters!$B$2)</f>
        <v>320000</v>
      </c>
      <c r="J11">
        <f t="shared" si="0"/>
        <v>887840</v>
      </c>
      <c r="K11">
        <v>450</v>
      </c>
      <c r="L11">
        <f>IF(K11="","",K11*Parameters!$B$2)</f>
        <v>144000</v>
      </c>
      <c r="M11">
        <f t="shared" si="1"/>
        <v>711840</v>
      </c>
      <c r="N11">
        <v>520</v>
      </c>
      <c r="O11">
        <f>IF(N11="","",N11*Parameters!$B$2)</f>
        <v>166400</v>
      </c>
      <c r="P11">
        <f t="shared" si="2"/>
        <v>734240</v>
      </c>
    </row>
    <row r="12" spans="1:16">
      <c r="A12" t="s">
        <v>79</v>
      </c>
      <c r="B12" t="s">
        <v>90</v>
      </c>
      <c r="C12" t="s">
        <v>15</v>
      </c>
      <c r="D12" t="s">
        <v>16</v>
      </c>
      <c r="E12" t="s">
        <v>17</v>
      </c>
      <c r="F12">
        <v>2704000</v>
      </c>
      <c r="G12">
        <f>IF(F12="","",F12*Parameters!$B$1)</f>
        <v>567840</v>
      </c>
      <c r="H12">
        <v>1000</v>
      </c>
      <c r="I12">
        <f>IF(H12="","",H12*Parameters!$B$2)</f>
        <v>320000</v>
      </c>
      <c r="J12">
        <f t="shared" si="0"/>
        <v>887840</v>
      </c>
      <c r="K12">
        <v>450</v>
      </c>
      <c r="L12">
        <f>IF(K12="","",K12*Parameters!$B$2)</f>
        <v>144000</v>
      </c>
      <c r="M12">
        <f t="shared" si="1"/>
        <v>711840</v>
      </c>
      <c r="N12">
        <v>520</v>
      </c>
      <c r="O12">
        <f>IF(N12="","",N12*Parameters!$B$2)</f>
        <v>166400</v>
      </c>
      <c r="P12">
        <f t="shared" si="2"/>
        <v>734240</v>
      </c>
    </row>
    <row r="13" spans="1:16">
      <c r="A13" t="s">
        <v>79</v>
      </c>
      <c r="B13" t="s">
        <v>91</v>
      </c>
      <c r="C13" t="s">
        <v>15</v>
      </c>
      <c r="D13" t="s">
        <v>16</v>
      </c>
      <c r="E13" t="s">
        <v>17</v>
      </c>
      <c r="F13">
        <v>2704000</v>
      </c>
      <c r="G13">
        <f>IF(F13="","",F13*Parameters!$B$1)</f>
        <v>567840</v>
      </c>
      <c r="H13">
        <v>1000</v>
      </c>
      <c r="I13">
        <f>IF(H13="","",H13*Parameters!$B$2)</f>
        <v>320000</v>
      </c>
      <c r="J13">
        <f t="shared" si="0"/>
        <v>887840</v>
      </c>
      <c r="K13">
        <v>450</v>
      </c>
      <c r="L13">
        <f>IF(K13="","",K13*Parameters!$B$2)</f>
        <v>144000</v>
      </c>
      <c r="M13">
        <f t="shared" si="1"/>
        <v>711840</v>
      </c>
      <c r="N13">
        <v>520</v>
      </c>
      <c r="O13">
        <f>IF(N13="","",N13*Parameters!$B$2)</f>
        <v>166400</v>
      </c>
      <c r="P13">
        <f t="shared" si="2"/>
        <v>734240</v>
      </c>
    </row>
    <row r="14" spans="1:16">
      <c r="A14" t="s">
        <v>79</v>
      </c>
      <c r="B14" t="s">
        <v>92</v>
      </c>
      <c r="C14" t="s">
        <v>15</v>
      </c>
      <c r="D14" t="s">
        <v>16</v>
      </c>
      <c r="E14" t="s">
        <v>17</v>
      </c>
      <c r="F14">
        <v>2704000</v>
      </c>
      <c r="G14">
        <f>IF(F14="","",F14*Parameters!$B$1)</f>
        <v>567840</v>
      </c>
      <c r="H14">
        <v>1000</v>
      </c>
      <c r="I14">
        <f>IF(H14="","",H14*Parameters!$B$2)</f>
        <v>320000</v>
      </c>
      <c r="J14">
        <f t="shared" si="0"/>
        <v>887840</v>
      </c>
      <c r="K14">
        <v>450</v>
      </c>
      <c r="L14">
        <f>IF(K14="","",K14*Parameters!$B$2)</f>
        <v>144000</v>
      </c>
      <c r="M14">
        <f t="shared" si="1"/>
        <v>711840</v>
      </c>
      <c r="N14">
        <v>520</v>
      </c>
      <c r="O14">
        <f>IF(N14="","",N14*Parameters!$B$2)</f>
        <v>166400</v>
      </c>
      <c r="P14">
        <f t="shared" si="2"/>
        <v>734240</v>
      </c>
    </row>
    <row r="15" spans="1:16">
      <c r="A15" t="s">
        <v>79</v>
      </c>
      <c r="B15" t="s">
        <v>93</v>
      </c>
      <c r="C15" t="s">
        <v>15</v>
      </c>
      <c r="D15" t="s">
        <v>16</v>
      </c>
      <c r="E15" t="s">
        <v>17</v>
      </c>
      <c r="F15">
        <v>2704000</v>
      </c>
      <c r="G15">
        <f>IF(F15="","",F15*Parameters!$B$1)</f>
        <v>567840</v>
      </c>
      <c r="H15">
        <v>1000</v>
      </c>
      <c r="I15">
        <f>IF(H15="","",H15*Parameters!$B$2)</f>
        <v>320000</v>
      </c>
      <c r="J15">
        <f t="shared" si="0"/>
        <v>887840</v>
      </c>
      <c r="K15">
        <v>450</v>
      </c>
      <c r="L15">
        <f>IF(K15="","",K15*Parameters!$B$2)</f>
        <v>144000</v>
      </c>
      <c r="M15">
        <f t="shared" si="1"/>
        <v>711840</v>
      </c>
      <c r="N15">
        <v>520</v>
      </c>
      <c r="O15">
        <f>IF(N15="","",N15*Parameters!$B$2)</f>
        <v>166400</v>
      </c>
      <c r="P15">
        <f t="shared" si="2"/>
        <v>734240</v>
      </c>
    </row>
    <row r="16" spans="1:16" ht="30">
      <c r="A16" t="s">
        <v>79</v>
      </c>
      <c r="B16" s="1" t="s">
        <v>94</v>
      </c>
      <c r="C16" t="s">
        <v>15</v>
      </c>
      <c r="D16" t="s">
        <v>16</v>
      </c>
      <c r="E16" t="s">
        <v>17</v>
      </c>
      <c r="F16">
        <v>2704000</v>
      </c>
      <c r="G16">
        <f>IF(F16="","",F16*Parameters!$B$1)</f>
        <v>567840</v>
      </c>
      <c r="H16">
        <v>1000</v>
      </c>
      <c r="I16">
        <f>IF(H16="","",H16*Parameters!$B$2)</f>
        <v>320000</v>
      </c>
      <c r="J16">
        <f t="shared" si="0"/>
        <v>887840</v>
      </c>
      <c r="K16">
        <v>450</v>
      </c>
      <c r="L16">
        <f>IF(K16="","",K16*Parameters!$B$2)</f>
        <v>144000</v>
      </c>
      <c r="M16">
        <f t="shared" si="1"/>
        <v>711840</v>
      </c>
      <c r="N16">
        <v>520</v>
      </c>
      <c r="O16">
        <f>IF(N16="","",N16*Parameters!$B$2)</f>
        <v>166400</v>
      </c>
      <c r="P16">
        <f t="shared" si="2"/>
        <v>734240</v>
      </c>
    </row>
    <row r="17" spans="1:16">
      <c r="A17" t="s">
        <v>79</v>
      </c>
      <c r="B17" t="s">
        <v>95</v>
      </c>
      <c r="C17" t="s">
        <v>15</v>
      </c>
      <c r="D17" t="s">
        <v>16</v>
      </c>
      <c r="E17" t="s">
        <v>17</v>
      </c>
      <c r="F17">
        <v>2704000</v>
      </c>
      <c r="G17">
        <f>IF(F17="","",F17*Parameters!$B$1)</f>
        <v>567840</v>
      </c>
      <c r="H17">
        <v>1000</v>
      </c>
      <c r="I17">
        <f>IF(H17="","",H17*Parameters!$B$2)</f>
        <v>320000</v>
      </c>
      <c r="J17">
        <f t="shared" si="0"/>
        <v>887840</v>
      </c>
      <c r="K17">
        <v>450</v>
      </c>
      <c r="L17">
        <f>IF(K17="","",K17*Parameters!$B$2)</f>
        <v>144000</v>
      </c>
      <c r="M17">
        <f t="shared" si="1"/>
        <v>711840</v>
      </c>
      <c r="N17">
        <v>520</v>
      </c>
      <c r="O17">
        <f>IF(N17="","",N17*Parameters!$B$2)</f>
        <v>166400</v>
      </c>
      <c r="P17">
        <f t="shared" si="2"/>
        <v>734240</v>
      </c>
    </row>
    <row r="18" spans="1:16">
      <c r="A18" t="s">
        <v>79</v>
      </c>
      <c r="B18" t="s">
        <v>96</v>
      </c>
      <c r="C18" t="s">
        <v>15</v>
      </c>
      <c r="D18" t="s">
        <v>16</v>
      </c>
      <c r="E18" t="s">
        <v>17</v>
      </c>
      <c r="F18">
        <v>2704000</v>
      </c>
      <c r="G18">
        <f>IF(F18="","",F18*Parameters!$B$1)</f>
        <v>567840</v>
      </c>
      <c r="H18">
        <v>1000</v>
      </c>
      <c r="I18">
        <f>IF(H18="","",H18*Parameters!$B$2)</f>
        <v>320000</v>
      </c>
      <c r="J18">
        <f t="shared" si="0"/>
        <v>887840</v>
      </c>
      <c r="K18">
        <v>450</v>
      </c>
      <c r="L18">
        <f>IF(K18="","",K18*Parameters!$B$2)</f>
        <v>144000</v>
      </c>
      <c r="M18">
        <f t="shared" si="1"/>
        <v>711840</v>
      </c>
      <c r="N18">
        <v>520</v>
      </c>
      <c r="O18">
        <f>IF(N18="","",N18*Parameters!$B$2)</f>
        <v>166400</v>
      </c>
      <c r="P18">
        <f t="shared" si="2"/>
        <v>734240</v>
      </c>
    </row>
    <row r="19" spans="1:16">
      <c r="A19" t="s">
        <v>79</v>
      </c>
      <c r="B19" t="s">
        <v>97</v>
      </c>
      <c r="C19" t="s">
        <v>15</v>
      </c>
      <c r="D19" t="s">
        <v>16</v>
      </c>
      <c r="E19" t="s">
        <v>17</v>
      </c>
      <c r="F19">
        <v>2704000</v>
      </c>
      <c r="G19">
        <f>IF(F19="","",F19*Parameters!$B$1)</f>
        <v>567840</v>
      </c>
      <c r="H19">
        <v>1000</v>
      </c>
      <c r="I19">
        <f>IF(H19="","",H19*Parameters!$B$2)</f>
        <v>320000</v>
      </c>
      <c r="J19">
        <f t="shared" si="0"/>
        <v>887840</v>
      </c>
      <c r="K19">
        <v>450</v>
      </c>
      <c r="L19">
        <f>IF(K19="","",K19*Parameters!$B$2)</f>
        <v>144000</v>
      </c>
      <c r="M19">
        <f t="shared" si="1"/>
        <v>711840</v>
      </c>
      <c r="N19">
        <v>520</v>
      </c>
      <c r="O19">
        <f>IF(N19="","",N19*Parameters!$B$2)</f>
        <v>166400</v>
      </c>
      <c r="P19">
        <f t="shared" si="2"/>
        <v>734240</v>
      </c>
    </row>
    <row r="20" spans="1:16">
      <c r="A20" t="s">
        <v>79</v>
      </c>
      <c r="B20" t="s">
        <v>98</v>
      </c>
      <c r="C20" t="s">
        <v>15</v>
      </c>
      <c r="D20" t="s">
        <v>16</v>
      </c>
      <c r="E20" t="s">
        <v>17</v>
      </c>
      <c r="F20">
        <v>2704000</v>
      </c>
      <c r="G20">
        <f>IF(F20="","",F20*Parameters!$B$1)</f>
        <v>567840</v>
      </c>
      <c r="H20">
        <v>1000</v>
      </c>
      <c r="I20">
        <f>IF(H20="","",H20*Parameters!$B$2)</f>
        <v>320000</v>
      </c>
      <c r="J20">
        <f t="shared" si="0"/>
        <v>887840</v>
      </c>
      <c r="K20">
        <v>450</v>
      </c>
      <c r="L20">
        <f>IF(K20="","",K20*Parameters!$B$2)</f>
        <v>144000</v>
      </c>
      <c r="M20">
        <f t="shared" si="1"/>
        <v>711840</v>
      </c>
      <c r="N20">
        <v>520</v>
      </c>
      <c r="O20">
        <f>IF(N20="","",N20*Parameters!$B$2)</f>
        <v>166400</v>
      </c>
      <c r="P20">
        <f t="shared" si="2"/>
        <v>734240</v>
      </c>
    </row>
    <row r="21" spans="1:16">
      <c r="A21" t="s">
        <v>79</v>
      </c>
      <c r="B21" t="s">
        <v>99</v>
      </c>
      <c r="C21" t="s">
        <v>15</v>
      </c>
      <c r="D21" t="s">
        <v>16</v>
      </c>
      <c r="E21" t="s">
        <v>17</v>
      </c>
      <c r="F21">
        <v>2704000</v>
      </c>
      <c r="G21">
        <f>IF(F21="","",F21*Parameters!$B$1)</f>
        <v>567840</v>
      </c>
      <c r="H21">
        <v>1000</v>
      </c>
      <c r="I21">
        <f>IF(H21="","",H21*Parameters!$B$2)</f>
        <v>320000</v>
      </c>
      <c r="J21">
        <f t="shared" si="0"/>
        <v>887840</v>
      </c>
      <c r="K21">
        <v>450</v>
      </c>
      <c r="L21">
        <f>IF(K21="","",K21*Parameters!$B$2)</f>
        <v>144000</v>
      </c>
      <c r="M21">
        <f t="shared" si="1"/>
        <v>711840</v>
      </c>
      <c r="N21">
        <v>520</v>
      </c>
      <c r="O21">
        <f>IF(N21="","",N21*Parameters!$B$2)</f>
        <v>166400</v>
      </c>
      <c r="P21">
        <f t="shared" si="2"/>
        <v>734240</v>
      </c>
    </row>
    <row r="22" spans="1:16">
      <c r="A22" t="s">
        <v>79</v>
      </c>
      <c r="B22" t="s">
        <v>100</v>
      </c>
      <c r="C22" t="s">
        <v>15</v>
      </c>
      <c r="D22" t="s">
        <v>16</v>
      </c>
      <c r="E22" t="s">
        <v>17</v>
      </c>
      <c r="F22">
        <v>2704000</v>
      </c>
      <c r="G22">
        <f>IF(F22="","",F22*Parameters!$B$1)</f>
        <v>567840</v>
      </c>
      <c r="H22">
        <v>1000</v>
      </c>
      <c r="I22">
        <f>IF(H22="","",H22*Parameters!$B$2)</f>
        <v>320000</v>
      </c>
      <c r="J22">
        <f t="shared" si="0"/>
        <v>887840</v>
      </c>
      <c r="K22">
        <v>450</v>
      </c>
      <c r="L22">
        <f>IF(K22="","",K22*Parameters!$B$2)</f>
        <v>144000</v>
      </c>
      <c r="M22">
        <f t="shared" si="1"/>
        <v>711840</v>
      </c>
      <c r="N22">
        <v>520</v>
      </c>
      <c r="O22">
        <f>IF(N22="","",N22*Parameters!$B$2)</f>
        <v>166400</v>
      </c>
      <c r="P22">
        <f t="shared" si="2"/>
        <v>734240</v>
      </c>
    </row>
    <row r="23" spans="1:16" ht="60">
      <c r="A23" t="s">
        <v>79</v>
      </c>
      <c r="B23" s="1" t="s">
        <v>101</v>
      </c>
      <c r="C23" t="s">
        <v>15</v>
      </c>
      <c r="D23" t="s">
        <v>16</v>
      </c>
      <c r="E23" t="s">
        <v>17</v>
      </c>
      <c r="F23">
        <v>2704000</v>
      </c>
      <c r="G23">
        <f>IF(F23="","",F23*Parameters!$B$1)</f>
        <v>567840</v>
      </c>
      <c r="H23">
        <v>1000</v>
      </c>
      <c r="I23">
        <f>IF(H23="","",H23*Parameters!$B$2)</f>
        <v>320000</v>
      </c>
      <c r="J23">
        <f t="shared" si="0"/>
        <v>887840</v>
      </c>
      <c r="K23">
        <v>450</v>
      </c>
      <c r="L23">
        <f>IF(K23="","",K23*Parameters!$B$2)</f>
        <v>144000</v>
      </c>
      <c r="M23">
        <f t="shared" si="1"/>
        <v>711840</v>
      </c>
      <c r="N23">
        <v>520</v>
      </c>
      <c r="O23">
        <f>IF(N23="","",N23*Parameters!$B$2)</f>
        <v>166400</v>
      </c>
      <c r="P23">
        <f t="shared" si="2"/>
        <v>734240</v>
      </c>
    </row>
    <row r="24" spans="1:16">
      <c r="A24" t="s">
        <v>79</v>
      </c>
      <c r="B24" t="s">
        <v>102</v>
      </c>
      <c r="C24" t="s">
        <v>15</v>
      </c>
      <c r="D24" t="s">
        <v>16</v>
      </c>
      <c r="E24" t="s">
        <v>17</v>
      </c>
      <c r="F24">
        <v>2704000</v>
      </c>
      <c r="G24">
        <f>IF(F24="","",F24*Parameters!$B$1)</f>
        <v>567840</v>
      </c>
      <c r="H24">
        <v>1000</v>
      </c>
      <c r="I24">
        <f>IF(H24="","",H24*Parameters!$B$2)</f>
        <v>320000</v>
      </c>
      <c r="J24">
        <f t="shared" si="0"/>
        <v>887840</v>
      </c>
      <c r="K24">
        <v>450</v>
      </c>
      <c r="L24">
        <f>IF(K24="","",K24*Parameters!$B$2)</f>
        <v>144000</v>
      </c>
      <c r="M24">
        <f t="shared" si="1"/>
        <v>711840</v>
      </c>
      <c r="N24">
        <v>520</v>
      </c>
      <c r="O24">
        <f>IF(N24="","",N24*Parameters!$B$2)</f>
        <v>166400</v>
      </c>
      <c r="P24">
        <f t="shared" si="2"/>
        <v>734240</v>
      </c>
    </row>
    <row r="25" spans="1:16">
      <c r="A25" t="s">
        <v>79</v>
      </c>
      <c r="B25" t="s">
        <v>103</v>
      </c>
      <c r="C25" t="s">
        <v>15</v>
      </c>
      <c r="D25" t="s">
        <v>16</v>
      </c>
      <c r="E25" t="s">
        <v>17</v>
      </c>
      <c r="F25">
        <v>2704000</v>
      </c>
      <c r="G25">
        <f>IF(F25="","",F25*Parameters!$B$1)</f>
        <v>567840</v>
      </c>
      <c r="H25">
        <v>1000</v>
      </c>
      <c r="I25">
        <f>IF(H25="","",H25*Parameters!$B$2)</f>
        <v>320000</v>
      </c>
      <c r="J25">
        <f t="shared" si="0"/>
        <v>887840</v>
      </c>
      <c r="K25">
        <v>450</v>
      </c>
      <c r="L25">
        <f>IF(K25="","",K25*Parameters!$B$2)</f>
        <v>144000</v>
      </c>
      <c r="M25">
        <f t="shared" si="1"/>
        <v>711840</v>
      </c>
      <c r="N25">
        <v>520</v>
      </c>
      <c r="O25">
        <f>IF(N25="","",N25*Parameters!$B$2)</f>
        <v>166400</v>
      </c>
      <c r="P25">
        <f t="shared" si="2"/>
        <v>734240</v>
      </c>
    </row>
    <row r="26" spans="1:16">
      <c r="A26" t="s">
        <v>79</v>
      </c>
      <c r="B26" t="s">
        <v>104</v>
      </c>
      <c r="C26" t="s">
        <v>15</v>
      </c>
      <c r="D26" t="s">
        <v>16</v>
      </c>
      <c r="E26" t="s">
        <v>17</v>
      </c>
      <c r="F26">
        <v>2704000</v>
      </c>
      <c r="G26">
        <f>IF(F26="","",F26*Parameters!$B$1)</f>
        <v>567840</v>
      </c>
      <c r="H26">
        <v>1000</v>
      </c>
      <c r="I26">
        <f>IF(H26="","",H26*Parameters!$B$2)</f>
        <v>320000</v>
      </c>
      <c r="J26">
        <f t="shared" si="0"/>
        <v>887840</v>
      </c>
      <c r="K26">
        <v>450</v>
      </c>
      <c r="L26">
        <f>IF(K26="","",K26*Parameters!$B$2)</f>
        <v>144000</v>
      </c>
      <c r="M26">
        <f t="shared" si="1"/>
        <v>711840</v>
      </c>
      <c r="N26">
        <v>520</v>
      </c>
      <c r="O26">
        <f>IF(N26="","",N26*Parameters!$B$2)</f>
        <v>166400</v>
      </c>
      <c r="P26">
        <f t="shared" si="2"/>
        <v>734240</v>
      </c>
    </row>
    <row r="27" spans="1:16">
      <c r="A27" t="s">
        <v>79</v>
      </c>
      <c r="B27" t="s">
        <v>105</v>
      </c>
      <c r="C27" t="s">
        <v>15</v>
      </c>
      <c r="D27" t="s">
        <v>16</v>
      </c>
      <c r="E27" t="s">
        <v>17</v>
      </c>
      <c r="F27">
        <v>2704000</v>
      </c>
      <c r="G27">
        <f>IF(F27="","",F27*Parameters!$B$1)</f>
        <v>567840</v>
      </c>
      <c r="H27">
        <v>1000</v>
      </c>
      <c r="I27">
        <f>IF(H27="","",H27*Parameters!$B$2)</f>
        <v>320000</v>
      </c>
      <c r="J27">
        <f t="shared" si="0"/>
        <v>887840</v>
      </c>
      <c r="K27">
        <v>450</v>
      </c>
      <c r="L27">
        <f>IF(K27="","",K27*Parameters!$B$2)</f>
        <v>144000</v>
      </c>
      <c r="M27">
        <f t="shared" si="1"/>
        <v>711840</v>
      </c>
      <c r="N27">
        <v>520</v>
      </c>
      <c r="O27">
        <f>IF(N27="","",N27*Parameters!$B$2)</f>
        <v>166400</v>
      </c>
      <c r="P27">
        <f t="shared" si="2"/>
        <v>734240</v>
      </c>
    </row>
    <row r="28" spans="1:16" ht="30">
      <c r="A28" t="s">
        <v>79</v>
      </c>
      <c r="B28" s="1" t="s">
        <v>106</v>
      </c>
      <c r="C28" t="s">
        <v>15</v>
      </c>
      <c r="D28" t="s">
        <v>16</v>
      </c>
      <c r="E28" t="s">
        <v>17</v>
      </c>
      <c r="F28">
        <v>2704000</v>
      </c>
      <c r="G28">
        <f>IF(F28="","",F28*Parameters!$B$1)</f>
        <v>567840</v>
      </c>
      <c r="H28">
        <v>1000</v>
      </c>
      <c r="I28">
        <f>IF(H28="","",H28*Parameters!$B$2)</f>
        <v>320000</v>
      </c>
      <c r="J28">
        <f t="shared" si="0"/>
        <v>887840</v>
      </c>
      <c r="K28">
        <v>450</v>
      </c>
      <c r="L28">
        <f>IF(K28="","",K28*Parameters!$B$2)</f>
        <v>144000</v>
      </c>
      <c r="M28">
        <f t="shared" si="1"/>
        <v>711840</v>
      </c>
      <c r="N28">
        <v>520</v>
      </c>
      <c r="O28">
        <f>IF(N28="","",N28*Parameters!$B$2)</f>
        <v>166400</v>
      </c>
      <c r="P28">
        <f t="shared" si="2"/>
        <v>734240</v>
      </c>
    </row>
    <row r="29" spans="1:16">
      <c r="A29" t="s">
        <v>79</v>
      </c>
      <c r="B29" t="s">
        <v>107</v>
      </c>
      <c r="C29" t="s">
        <v>15</v>
      </c>
      <c r="D29" t="s">
        <v>16</v>
      </c>
      <c r="E29" t="s">
        <v>17</v>
      </c>
      <c r="F29">
        <v>2704000</v>
      </c>
      <c r="G29">
        <f>IF(F29="","",F29*Parameters!$B$1)</f>
        <v>567840</v>
      </c>
      <c r="H29">
        <v>1000</v>
      </c>
      <c r="I29">
        <f>IF(H29="","",H29*Parameters!$B$2)</f>
        <v>320000</v>
      </c>
      <c r="J29">
        <f t="shared" si="0"/>
        <v>887840</v>
      </c>
      <c r="K29">
        <v>450</v>
      </c>
      <c r="L29">
        <f>IF(K29="","",K29*Parameters!$B$2)</f>
        <v>144000</v>
      </c>
      <c r="M29">
        <f t="shared" si="1"/>
        <v>711840</v>
      </c>
      <c r="N29">
        <v>520</v>
      </c>
      <c r="O29">
        <f>IF(N29="","",N29*Parameters!$B$2)</f>
        <v>166400</v>
      </c>
      <c r="P29">
        <f t="shared" si="2"/>
        <v>734240</v>
      </c>
    </row>
    <row r="30" spans="1:16">
      <c r="A30" t="s">
        <v>79</v>
      </c>
      <c r="B30" t="s">
        <v>108</v>
      </c>
      <c r="C30" t="s">
        <v>15</v>
      </c>
      <c r="D30" t="s">
        <v>16</v>
      </c>
      <c r="E30" t="s">
        <v>17</v>
      </c>
      <c r="F30">
        <v>2704000</v>
      </c>
      <c r="G30">
        <f>IF(F30="","",F30*Parameters!$B$1)</f>
        <v>567840</v>
      </c>
      <c r="H30">
        <v>1000</v>
      </c>
      <c r="I30">
        <f>IF(H30="","",H30*Parameters!$B$2)</f>
        <v>320000</v>
      </c>
      <c r="J30">
        <f t="shared" si="0"/>
        <v>887840</v>
      </c>
      <c r="K30">
        <v>450</v>
      </c>
      <c r="L30">
        <f>IF(K30="","",K30*Parameters!$B$2)</f>
        <v>144000</v>
      </c>
      <c r="M30">
        <f t="shared" si="1"/>
        <v>711840</v>
      </c>
      <c r="N30">
        <v>520</v>
      </c>
      <c r="O30">
        <f>IF(N30="","",N30*Parameters!$B$2)</f>
        <v>166400</v>
      </c>
      <c r="P30">
        <f t="shared" si="2"/>
        <v>734240</v>
      </c>
    </row>
    <row r="31" spans="1:16">
      <c r="A31" t="s">
        <v>79</v>
      </c>
      <c r="B31" t="s">
        <v>109</v>
      </c>
      <c r="C31" t="s">
        <v>15</v>
      </c>
      <c r="D31" t="s">
        <v>16</v>
      </c>
      <c r="E31" t="s">
        <v>17</v>
      </c>
      <c r="F31">
        <v>2704000</v>
      </c>
      <c r="G31">
        <f>IF(F31="","",F31*Parameters!$B$1)</f>
        <v>567840</v>
      </c>
      <c r="H31">
        <v>1000</v>
      </c>
      <c r="I31">
        <f>IF(H31="","",H31*Parameters!$B$2)</f>
        <v>320000</v>
      </c>
      <c r="J31">
        <f t="shared" si="0"/>
        <v>887840</v>
      </c>
      <c r="K31">
        <v>450</v>
      </c>
      <c r="L31">
        <f>IF(K31="","",K31*Parameters!$B$2)</f>
        <v>144000</v>
      </c>
      <c r="M31">
        <f t="shared" si="1"/>
        <v>711840</v>
      </c>
      <c r="N31">
        <v>520</v>
      </c>
      <c r="O31">
        <f>IF(N31="","",N31*Parameters!$B$2)</f>
        <v>166400</v>
      </c>
      <c r="P31">
        <f t="shared" si="2"/>
        <v>734240</v>
      </c>
    </row>
    <row r="32" spans="1:16">
      <c r="A32" t="s">
        <v>79</v>
      </c>
      <c r="B32" t="s">
        <v>110</v>
      </c>
      <c r="C32" t="s">
        <v>15</v>
      </c>
      <c r="D32" t="s">
        <v>16</v>
      </c>
      <c r="E32" t="s">
        <v>17</v>
      </c>
      <c r="F32">
        <v>2016000</v>
      </c>
      <c r="G32">
        <f>IF(F32="","",F32*Parameters!$B$1)</f>
        <v>423360</v>
      </c>
      <c r="H32">
        <v>1000</v>
      </c>
      <c r="I32">
        <f>IF(H32="","",H32*Parameters!$B$2)</f>
        <v>320000</v>
      </c>
      <c r="J32">
        <f t="shared" si="0"/>
        <v>743360</v>
      </c>
      <c r="K32">
        <v>450</v>
      </c>
      <c r="L32">
        <f>IF(K32="","",K32*Parameters!$B$2)</f>
        <v>144000</v>
      </c>
      <c r="M32">
        <f t="shared" si="1"/>
        <v>567360</v>
      </c>
      <c r="N32">
        <v>520</v>
      </c>
      <c r="O32">
        <f>IF(N32="","",N32*Parameters!$B$2)</f>
        <v>166400</v>
      </c>
      <c r="P32">
        <f t="shared" si="2"/>
        <v>589760</v>
      </c>
    </row>
    <row r="33" spans="1:16">
      <c r="A33" t="s">
        <v>79</v>
      </c>
      <c r="B33" t="s">
        <v>111</v>
      </c>
      <c r="C33" t="s">
        <v>15</v>
      </c>
      <c r="D33" t="s">
        <v>16</v>
      </c>
      <c r="E33" t="s">
        <v>17</v>
      </c>
      <c r="F33">
        <v>2016000</v>
      </c>
      <c r="G33">
        <f>IF(F33="","",F33*Parameters!$B$1)</f>
        <v>423360</v>
      </c>
      <c r="H33">
        <v>1000</v>
      </c>
      <c r="I33">
        <f>IF(H33="","",H33*Parameters!$B$2)</f>
        <v>320000</v>
      </c>
      <c r="J33">
        <f t="shared" si="0"/>
        <v>743360</v>
      </c>
      <c r="K33">
        <v>450</v>
      </c>
      <c r="L33">
        <f>IF(K33="","",K33*Parameters!$B$2)</f>
        <v>144000</v>
      </c>
      <c r="M33">
        <f t="shared" si="1"/>
        <v>567360</v>
      </c>
      <c r="N33">
        <v>520</v>
      </c>
      <c r="O33">
        <f>IF(N33="","",N33*Parameters!$B$2)</f>
        <v>166400</v>
      </c>
      <c r="P33">
        <f t="shared" si="2"/>
        <v>589760</v>
      </c>
    </row>
    <row r="34" spans="1:16">
      <c r="A34" t="s">
        <v>79</v>
      </c>
      <c r="B34" t="s">
        <v>112</v>
      </c>
      <c r="C34" t="s">
        <v>15</v>
      </c>
      <c r="D34" t="s">
        <v>16</v>
      </c>
      <c r="E34" t="s">
        <v>17</v>
      </c>
      <c r="F34">
        <v>2016000</v>
      </c>
      <c r="G34">
        <f>IF(F34="","",F34*Parameters!$B$1)</f>
        <v>423360</v>
      </c>
      <c r="H34">
        <v>1000</v>
      </c>
      <c r="I34">
        <f>IF(H34="","",H34*Parameters!$B$2)</f>
        <v>320000</v>
      </c>
      <c r="J34">
        <f t="shared" si="0"/>
        <v>743360</v>
      </c>
      <c r="K34">
        <v>450</v>
      </c>
      <c r="L34">
        <f>IF(K34="","",K34*Parameters!$B$2)</f>
        <v>144000</v>
      </c>
      <c r="M34">
        <f t="shared" si="1"/>
        <v>567360</v>
      </c>
      <c r="N34">
        <v>520</v>
      </c>
      <c r="O34">
        <f>IF(N34="","",N34*Parameters!$B$2)</f>
        <v>166400</v>
      </c>
      <c r="P34">
        <f t="shared" si="2"/>
        <v>589760</v>
      </c>
    </row>
    <row r="35" spans="1:16">
      <c r="A35" t="s">
        <v>79</v>
      </c>
      <c r="B35" t="s">
        <v>113</v>
      </c>
      <c r="C35" t="s">
        <v>15</v>
      </c>
      <c r="D35" t="s">
        <v>16</v>
      </c>
      <c r="E35" t="s">
        <v>17</v>
      </c>
      <c r="F35">
        <v>2016000</v>
      </c>
      <c r="G35">
        <f>IF(F35="","",F35*Parameters!$B$1)</f>
        <v>423360</v>
      </c>
      <c r="H35">
        <v>1000</v>
      </c>
      <c r="I35">
        <f>IF(H35="","",H35*Parameters!$B$2)</f>
        <v>320000</v>
      </c>
      <c r="J35">
        <f t="shared" si="0"/>
        <v>743360</v>
      </c>
      <c r="K35">
        <v>450</v>
      </c>
      <c r="L35">
        <f>IF(K35="","",K35*Parameters!$B$2)</f>
        <v>144000</v>
      </c>
      <c r="M35">
        <f t="shared" si="1"/>
        <v>567360</v>
      </c>
      <c r="N35">
        <v>520</v>
      </c>
      <c r="O35">
        <f>IF(N35="","",N35*Parameters!$B$2)</f>
        <v>166400</v>
      </c>
      <c r="P35">
        <f t="shared" si="2"/>
        <v>589760</v>
      </c>
    </row>
    <row r="36" spans="1:16" ht="45">
      <c r="A36" t="s">
        <v>79</v>
      </c>
      <c r="B36" s="1" t="s">
        <v>114</v>
      </c>
      <c r="C36" t="s">
        <v>15</v>
      </c>
      <c r="D36" t="s">
        <v>16</v>
      </c>
      <c r="E36" t="s">
        <v>17</v>
      </c>
      <c r="F36">
        <v>2016000</v>
      </c>
      <c r="G36">
        <f>IF(F36="","",F36*Parameters!$B$1)</f>
        <v>423360</v>
      </c>
      <c r="H36">
        <v>1000</v>
      </c>
      <c r="I36">
        <f>IF(H36="","",H36*Parameters!$B$2)</f>
        <v>320000</v>
      </c>
      <c r="J36">
        <f t="shared" si="0"/>
        <v>743360</v>
      </c>
      <c r="K36">
        <v>450</v>
      </c>
      <c r="L36">
        <f>IF(K36="","",K36*Parameters!$B$2)</f>
        <v>144000</v>
      </c>
      <c r="M36">
        <f t="shared" si="1"/>
        <v>567360</v>
      </c>
      <c r="N36">
        <v>520</v>
      </c>
      <c r="O36">
        <f>IF(N36="","",N36*Parameters!$B$2)</f>
        <v>166400</v>
      </c>
      <c r="P36">
        <f t="shared" si="2"/>
        <v>589760</v>
      </c>
    </row>
    <row r="37" spans="1:16" ht="45.75">
      <c r="A37" t="s">
        <v>79</v>
      </c>
      <c r="B37" s="1" t="s">
        <v>114</v>
      </c>
      <c r="C37" t="s">
        <v>15</v>
      </c>
      <c r="D37" t="s">
        <v>16</v>
      </c>
      <c r="E37" t="s">
        <v>17</v>
      </c>
      <c r="F37">
        <v>2016000</v>
      </c>
      <c r="G37">
        <f>IF(F37="","",F37*Parameters!$B$1)</f>
        <v>423360</v>
      </c>
      <c r="H37">
        <v>1000</v>
      </c>
      <c r="I37">
        <f>IF(H37="","",H37*Parameters!$B$2)</f>
        <v>320000</v>
      </c>
      <c r="J37">
        <f t="shared" si="0"/>
        <v>743360</v>
      </c>
      <c r="K37">
        <v>450</v>
      </c>
      <c r="L37">
        <f>IF(K37="","",K37*Parameters!$B$2)</f>
        <v>144000</v>
      </c>
      <c r="M37">
        <f t="shared" si="1"/>
        <v>567360</v>
      </c>
      <c r="N37">
        <v>520</v>
      </c>
      <c r="O37">
        <f>IF(N37="","",N37*Parameters!$B$2)</f>
        <v>166400</v>
      </c>
      <c r="P37">
        <f t="shared" si="2"/>
        <v>589760</v>
      </c>
    </row>
    <row r="38" spans="1:16">
      <c r="A38" t="s">
        <v>79</v>
      </c>
      <c r="B38" t="s">
        <v>115</v>
      </c>
      <c r="C38" t="s">
        <v>15</v>
      </c>
      <c r="D38" t="s">
        <v>16</v>
      </c>
      <c r="E38" t="s">
        <v>17</v>
      </c>
      <c r="F38">
        <v>2529000</v>
      </c>
      <c r="G38">
        <f>IF(F38="","",F38*Parameters!$B$1)</f>
        <v>531090</v>
      </c>
      <c r="H38">
        <v>1000</v>
      </c>
      <c r="I38">
        <f>IF(H38="","",H38*Parameters!$B$2)</f>
        <v>320000</v>
      </c>
      <c r="J38">
        <f t="shared" si="0"/>
        <v>851090</v>
      </c>
      <c r="K38">
        <v>450</v>
      </c>
      <c r="L38">
        <f>IF(K38="","",K38*Parameters!$B$2)</f>
        <v>144000</v>
      </c>
      <c r="M38">
        <f t="shared" si="1"/>
        <v>675090</v>
      </c>
      <c r="N38">
        <v>520</v>
      </c>
      <c r="O38">
        <f>IF(N38="","",N38*Parameters!$B$2)</f>
        <v>166400</v>
      </c>
      <c r="P38">
        <f t="shared" si="2"/>
        <v>697490</v>
      </c>
    </row>
    <row r="39" spans="1:16">
      <c r="A39" t="s">
        <v>79</v>
      </c>
      <c r="B39" t="s">
        <v>116</v>
      </c>
      <c r="C39" t="s">
        <v>15</v>
      </c>
      <c r="D39" t="s">
        <v>16</v>
      </c>
      <c r="E39" t="s">
        <v>17</v>
      </c>
      <c r="F39">
        <v>2529000</v>
      </c>
      <c r="G39">
        <f>IF(F39="","",F39*Parameters!$B$1)</f>
        <v>531090</v>
      </c>
      <c r="H39">
        <v>1000</v>
      </c>
      <c r="I39">
        <f>IF(H39="","",H39*Parameters!$B$2)</f>
        <v>320000</v>
      </c>
      <c r="J39">
        <f t="shared" si="0"/>
        <v>851090</v>
      </c>
      <c r="K39">
        <v>450</v>
      </c>
      <c r="L39">
        <f>IF(K39="","",K39*Parameters!$B$2)</f>
        <v>144000</v>
      </c>
      <c r="M39">
        <f t="shared" si="1"/>
        <v>675090</v>
      </c>
      <c r="N39">
        <v>520</v>
      </c>
      <c r="O39">
        <f>IF(N39="","",N39*Parameters!$B$2)</f>
        <v>166400</v>
      </c>
      <c r="P39">
        <f t="shared" si="2"/>
        <v>697490</v>
      </c>
    </row>
    <row r="40" spans="1:16">
      <c r="A40" t="s">
        <v>79</v>
      </c>
      <c r="B40" t="s">
        <v>117</v>
      </c>
      <c r="C40" t="s">
        <v>15</v>
      </c>
      <c r="D40" t="s">
        <v>16</v>
      </c>
      <c r="E40" t="s">
        <v>17</v>
      </c>
      <c r="F40">
        <v>2529000</v>
      </c>
      <c r="G40">
        <f>IF(F40="","",F40*Parameters!$B$1)</f>
        <v>531090</v>
      </c>
      <c r="H40">
        <v>1000</v>
      </c>
      <c r="I40">
        <f>IF(H40="","",H40*Parameters!$B$2)</f>
        <v>320000</v>
      </c>
      <c r="J40">
        <f t="shared" si="0"/>
        <v>851090</v>
      </c>
      <c r="K40">
        <v>450</v>
      </c>
      <c r="L40">
        <f>IF(K40="","",K40*Parameters!$B$2)</f>
        <v>144000</v>
      </c>
      <c r="M40">
        <f t="shared" si="1"/>
        <v>675090</v>
      </c>
      <c r="N40">
        <v>520</v>
      </c>
      <c r="O40">
        <f>IF(N40="","",N40*Parameters!$B$2)</f>
        <v>166400</v>
      </c>
      <c r="P40">
        <f t="shared" si="2"/>
        <v>697490</v>
      </c>
    </row>
    <row r="41" spans="1:16">
      <c r="A41" t="s">
        <v>79</v>
      </c>
      <c r="B41" t="s">
        <v>118</v>
      </c>
      <c r="C41" t="s">
        <v>15</v>
      </c>
      <c r="D41" t="s">
        <v>16</v>
      </c>
      <c r="E41" t="s">
        <v>17</v>
      </c>
      <c r="F41">
        <v>2529000</v>
      </c>
      <c r="G41">
        <f>IF(F41="","",F41*Parameters!$B$1)</f>
        <v>531090</v>
      </c>
      <c r="H41">
        <v>1000</v>
      </c>
      <c r="I41">
        <f>IF(H41="","",H41*Parameters!$B$2)</f>
        <v>320000</v>
      </c>
      <c r="J41">
        <f t="shared" si="0"/>
        <v>851090</v>
      </c>
      <c r="K41">
        <v>450</v>
      </c>
      <c r="L41">
        <f>IF(K41="","",K41*Parameters!$B$2)</f>
        <v>144000</v>
      </c>
      <c r="M41">
        <f t="shared" si="1"/>
        <v>675090</v>
      </c>
      <c r="N41">
        <v>520</v>
      </c>
      <c r="O41">
        <f>IF(N41="","",N41*Parameters!$B$2)</f>
        <v>166400</v>
      </c>
      <c r="P41">
        <f t="shared" si="2"/>
        <v>697490</v>
      </c>
    </row>
    <row r="42" spans="1:16">
      <c r="A42" t="s">
        <v>79</v>
      </c>
      <c r="B42" t="s">
        <v>119</v>
      </c>
      <c r="C42" t="s">
        <v>15</v>
      </c>
      <c r="D42" t="s">
        <v>16</v>
      </c>
      <c r="E42" t="s">
        <v>17</v>
      </c>
      <c r="F42">
        <v>2529000</v>
      </c>
      <c r="G42">
        <f>IF(F42="","",F42*Parameters!$B$1)</f>
        <v>531090</v>
      </c>
      <c r="H42">
        <v>1000</v>
      </c>
      <c r="I42">
        <f>IF(H42="","",H42*Parameters!$B$2)</f>
        <v>320000</v>
      </c>
      <c r="J42">
        <f t="shared" si="0"/>
        <v>851090</v>
      </c>
      <c r="K42">
        <v>450</v>
      </c>
      <c r="L42">
        <f>IF(K42="","",K42*Parameters!$B$2)</f>
        <v>144000</v>
      </c>
      <c r="M42">
        <f t="shared" si="1"/>
        <v>675090</v>
      </c>
      <c r="N42">
        <v>520</v>
      </c>
      <c r="O42">
        <f>IF(N42="","",N42*Parameters!$B$2)</f>
        <v>166400</v>
      </c>
      <c r="P42">
        <f t="shared" si="2"/>
        <v>697490</v>
      </c>
    </row>
    <row r="43" spans="1:16">
      <c r="A43" t="s">
        <v>79</v>
      </c>
      <c r="B43" t="s">
        <v>120</v>
      </c>
      <c r="C43" t="s">
        <v>15</v>
      </c>
      <c r="D43" t="s">
        <v>16</v>
      </c>
      <c r="E43" t="s">
        <v>17</v>
      </c>
      <c r="F43">
        <v>2529000</v>
      </c>
      <c r="G43">
        <f>IF(F43="","",F43*Parameters!$B$1)</f>
        <v>531090</v>
      </c>
      <c r="H43">
        <v>1000</v>
      </c>
      <c r="I43">
        <f>IF(H43="","",H43*Parameters!$B$2)</f>
        <v>320000</v>
      </c>
      <c r="J43">
        <f t="shared" si="0"/>
        <v>851090</v>
      </c>
      <c r="K43">
        <v>450</v>
      </c>
      <c r="L43">
        <f>IF(K43="","",K43*Parameters!$B$2)</f>
        <v>144000</v>
      </c>
      <c r="M43">
        <f t="shared" si="1"/>
        <v>675090</v>
      </c>
      <c r="N43">
        <v>520</v>
      </c>
      <c r="O43">
        <f>IF(N43="","",N43*Parameters!$B$2)</f>
        <v>166400</v>
      </c>
      <c r="P43">
        <f t="shared" si="2"/>
        <v>697490</v>
      </c>
    </row>
    <row r="44" spans="1:16">
      <c r="A44" t="s">
        <v>79</v>
      </c>
      <c r="B44" t="s">
        <v>121</v>
      </c>
      <c r="C44" t="s">
        <v>15</v>
      </c>
      <c r="D44" t="s">
        <v>16</v>
      </c>
      <c r="E44" t="s">
        <v>17</v>
      </c>
      <c r="F44">
        <v>2529000</v>
      </c>
      <c r="G44">
        <f>IF(F44="","",F44*Parameters!$B$1)</f>
        <v>531090</v>
      </c>
      <c r="H44">
        <v>1000</v>
      </c>
      <c r="I44">
        <f>IF(H44="","",H44*Parameters!$B$2)</f>
        <v>320000</v>
      </c>
      <c r="J44">
        <f t="shared" si="0"/>
        <v>851090</v>
      </c>
      <c r="K44">
        <v>450</v>
      </c>
      <c r="L44">
        <f>IF(K44="","",K44*Parameters!$B$2)</f>
        <v>144000</v>
      </c>
      <c r="M44">
        <f t="shared" si="1"/>
        <v>675090</v>
      </c>
      <c r="N44">
        <v>520</v>
      </c>
      <c r="O44">
        <f>IF(N44="","",N44*Parameters!$B$2)</f>
        <v>166400</v>
      </c>
      <c r="P44">
        <f t="shared" si="2"/>
        <v>697490</v>
      </c>
    </row>
    <row r="45" spans="1:16">
      <c r="A45" t="s">
        <v>79</v>
      </c>
      <c r="B45" t="s">
        <v>122</v>
      </c>
      <c r="C45" t="s">
        <v>15</v>
      </c>
      <c r="D45" t="s">
        <v>16</v>
      </c>
      <c r="E45" t="s">
        <v>17</v>
      </c>
      <c r="F45">
        <v>2529000</v>
      </c>
      <c r="G45">
        <f>IF(F45="","",F45*Parameters!$B$1)</f>
        <v>531090</v>
      </c>
      <c r="H45">
        <v>1000</v>
      </c>
      <c r="I45">
        <f>IF(H45="","",H45*Parameters!$B$2)</f>
        <v>320000</v>
      </c>
      <c r="J45">
        <f t="shared" si="0"/>
        <v>851090</v>
      </c>
      <c r="K45">
        <v>450</v>
      </c>
      <c r="L45">
        <f>IF(K45="","",K45*Parameters!$B$2)</f>
        <v>144000</v>
      </c>
      <c r="M45">
        <f t="shared" si="1"/>
        <v>675090</v>
      </c>
      <c r="N45">
        <v>520</v>
      </c>
      <c r="O45">
        <f>IF(N45="","",N45*Parameters!$B$2)</f>
        <v>166400</v>
      </c>
      <c r="P45">
        <f t="shared" si="2"/>
        <v>697490</v>
      </c>
    </row>
    <row r="46" spans="1:16">
      <c r="A46" t="s">
        <v>79</v>
      </c>
      <c r="B46" t="s">
        <v>123</v>
      </c>
      <c r="C46" t="s">
        <v>15</v>
      </c>
      <c r="D46" t="s">
        <v>16</v>
      </c>
      <c r="E46" t="s">
        <v>17</v>
      </c>
      <c r="F46">
        <v>2529000</v>
      </c>
      <c r="G46">
        <f>IF(F46="","",F46*Parameters!$B$1)</f>
        <v>531090</v>
      </c>
      <c r="H46">
        <v>1000</v>
      </c>
      <c r="I46">
        <f>IF(H46="","",H46*Parameters!$B$2)</f>
        <v>320000</v>
      </c>
      <c r="J46">
        <f t="shared" si="0"/>
        <v>851090</v>
      </c>
      <c r="K46">
        <v>450</v>
      </c>
      <c r="L46">
        <f>IF(K46="","",K46*Parameters!$B$2)</f>
        <v>144000</v>
      </c>
      <c r="M46">
        <f t="shared" si="1"/>
        <v>675090</v>
      </c>
      <c r="N46">
        <v>520</v>
      </c>
      <c r="O46">
        <f>IF(N46="","",N46*Parameters!$B$2)</f>
        <v>166400</v>
      </c>
      <c r="P46">
        <f t="shared" si="2"/>
        <v>697490</v>
      </c>
    </row>
    <row r="47" spans="1:16">
      <c r="A47" t="s">
        <v>79</v>
      </c>
      <c r="B47" t="s">
        <v>124</v>
      </c>
      <c r="C47" t="s">
        <v>15</v>
      </c>
      <c r="D47" t="s">
        <v>16</v>
      </c>
      <c r="E47" t="s">
        <v>17</v>
      </c>
      <c r="F47">
        <v>2529000</v>
      </c>
      <c r="G47">
        <f>IF(F47="","",F47*Parameters!$B$1)</f>
        <v>531090</v>
      </c>
      <c r="H47">
        <v>1000</v>
      </c>
      <c r="I47">
        <f>IF(H47="","",H47*Parameters!$B$2)</f>
        <v>320000</v>
      </c>
      <c r="J47">
        <f t="shared" si="0"/>
        <v>851090</v>
      </c>
      <c r="K47">
        <v>450</v>
      </c>
      <c r="L47">
        <f>IF(K47="","",K47*Parameters!$B$2)</f>
        <v>144000</v>
      </c>
      <c r="M47">
        <f t="shared" si="1"/>
        <v>675090</v>
      </c>
      <c r="N47">
        <v>520</v>
      </c>
      <c r="O47">
        <f>IF(N47="","",N47*Parameters!$B$2)</f>
        <v>166400</v>
      </c>
      <c r="P47">
        <f t="shared" si="2"/>
        <v>697490</v>
      </c>
    </row>
    <row r="48" spans="1:16">
      <c r="A48" t="s">
        <v>79</v>
      </c>
      <c r="B48" t="s">
        <v>125</v>
      </c>
      <c r="C48" t="s">
        <v>15</v>
      </c>
      <c r="D48" t="s">
        <v>16</v>
      </c>
      <c r="E48" t="s">
        <v>17</v>
      </c>
      <c r="F48">
        <v>2529000</v>
      </c>
      <c r="G48">
        <f>IF(F48="","",F48*Parameters!$B$1)</f>
        <v>531090</v>
      </c>
      <c r="H48">
        <v>1000</v>
      </c>
      <c r="I48">
        <f>IF(H48="","",H48*Parameters!$B$2)</f>
        <v>320000</v>
      </c>
      <c r="J48">
        <f t="shared" si="0"/>
        <v>851090</v>
      </c>
      <c r="K48">
        <v>450</v>
      </c>
      <c r="L48">
        <f>IF(K48="","",K48*Parameters!$B$2)</f>
        <v>144000</v>
      </c>
      <c r="M48">
        <f t="shared" si="1"/>
        <v>675090</v>
      </c>
      <c r="N48">
        <v>520</v>
      </c>
      <c r="O48">
        <f>IF(N48="","",N48*Parameters!$B$2)</f>
        <v>166400</v>
      </c>
      <c r="P48">
        <f t="shared" si="2"/>
        <v>697490</v>
      </c>
    </row>
    <row r="49" spans="1:16">
      <c r="A49" t="s">
        <v>79</v>
      </c>
      <c r="B49" t="s">
        <v>126</v>
      </c>
      <c r="C49" t="s">
        <v>15</v>
      </c>
      <c r="D49" t="s">
        <v>16</v>
      </c>
      <c r="E49" t="s">
        <v>17</v>
      </c>
      <c r="F49">
        <v>2016000</v>
      </c>
      <c r="G49">
        <f>IF(F49="","",F49*Parameters!$B$1)</f>
        <v>423360</v>
      </c>
      <c r="H49">
        <v>1000</v>
      </c>
      <c r="I49">
        <f>IF(H49="","",H49*Parameters!$B$2)</f>
        <v>320000</v>
      </c>
      <c r="J49">
        <f t="shared" si="0"/>
        <v>743360</v>
      </c>
      <c r="K49">
        <v>450</v>
      </c>
      <c r="L49">
        <f>IF(K49="","",K49*Parameters!$B$2)</f>
        <v>144000</v>
      </c>
      <c r="M49">
        <f t="shared" si="1"/>
        <v>567360</v>
      </c>
      <c r="N49">
        <v>520</v>
      </c>
      <c r="O49">
        <f>IF(N49="","",N49*Parameters!$B$2)</f>
        <v>166400</v>
      </c>
      <c r="P49">
        <f t="shared" si="2"/>
        <v>589760</v>
      </c>
    </row>
    <row r="50" spans="1:16">
      <c r="A50" t="s">
        <v>79</v>
      </c>
      <c r="B50" t="s">
        <v>127</v>
      </c>
      <c r="C50" t="s">
        <v>15</v>
      </c>
      <c r="D50" t="s">
        <v>16</v>
      </c>
      <c r="E50" t="s">
        <v>17</v>
      </c>
      <c r="F50">
        <v>2016000</v>
      </c>
      <c r="G50">
        <f>IF(F50="","",F50*Parameters!$B$1)</f>
        <v>423360</v>
      </c>
      <c r="H50">
        <v>1000</v>
      </c>
      <c r="I50">
        <f>IF(H50="","",H50*Parameters!$B$2)</f>
        <v>320000</v>
      </c>
      <c r="J50">
        <f t="shared" si="0"/>
        <v>743360</v>
      </c>
      <c r="K50">
        <v>450</v>
      </c>
      <c r="L50">
        <f>IF(K50="","",K50*Parameters!$B$2)</f>
        <v>144000</v>
      </c>
      <c r="M50">
        <f t="shared" si="1"/>
        <v>567360</v>
      </c>
      <c r="N50">
        <v>520</v>
      </c>
      <c r="O50">
        <f>IF(N50="","",N50*Parameters!$B$2)</f>
        <v>166400</v>
      </c>
      <c r="P50">
        <f t="shared" si="2"/>
        <v>589760</v>
      </c>
    </row>
    <row r="51" spans="1:16">
      <c r="A51" t="s">
        <v>79</v>
      </c>
      <c r="B51" t="s">
        <v>128</v>
      </c>
      <c r="C51" t="s">
        <v>15</v>
      </c>
      <c r="D51" t="s">
        <v>16</v>
      </c>
      <c r="E51" t="s">
        <v>17</v>
      </c>
      <c r="F51">
        <v>2016000</v>
      </c>
      <c r="G51">
        <f>IF(F51="","",F51*Parameters!$B$1)</f>
        <v>423360</v>
      </c>
      <c r="H51">
        <v>1000</v>
      </c>
      <c r="I51">
        <f>IF(H51="","",H51*Parameters!$B$2)</f>
        <v>320000</v>
      </c>
      <c r="J51">
        <f t="shared" si="0"/>
        <v>743360</v>
      </c>
      <c r="K51">
        <v>450</v>
      </c>
      <c r="L51">
        <f>IF(K51="","",K51*Parameters!$B$2)</f>
        <v>144000</v>
      </c>
      <c r="M51">
        <f t="shared" si="1"/>
        <v>567360</v>
      </c>
      <c r="N51">
        <v>520</v>
      </c>
      <c r="O51">
        <f>IF(N51="","",N51*Parameters!$B$2)</f>
        <v>166400</v>
      </c>
      <c r="P51">
        <f t="shared" si="2"/>
        <v>589760</v>
      </c>
    </row>
    <row r="52" spans="1:16">
      <c r="A52" t="s">
        <v>79</v>
      </c>
      <c r="B52" t="s">
        <v>129</v>
      </c>
      <c r="C52" t="s">
        <v>15</v>
      </c>
      <c r="D52" t="s">
        <v>16</v>
      </c>
      <c r="E52" t="s">
        <v>17</v>
      </c>
      <c r="F52">
        <v>2016000</v>
      </c>
      <c r="G52">
        <f>IF(F52="","",F52*Parameters!$B$1)</f>
        <v>423360</v>
      </c>
      <c r="H52">
        <v>1000</v>
      </c>
      <c r="I52">
        <f>IF(H52="","",H52*Parameters!$B$2)</f>
        <v>320000</v>
      </c>
      <c r="J52">
        <f t="shared" si="0"/>
        <v>743360</v>
      </c>
      <c r="K52">
        <v>450</v>
      </c>
      <c r="L52">
        <f>IF(K52="","",K52*Parameters!$B$2)</f>
        <v>144000</v>
      </c>
      <c r="M52">
        <f t="shared" si="1"/>
        <v>567360</v>
      </c>
      <c r="N52">
        <v>520</v>
      </c>
      <c r="O52">
        <f>IF(N52="","",N52*Parameters!$B$2)</f>
        <v>166400</v>
      </c>
      <c r="P52">
        <f t="shared" si="2"/>
        <v>589760</v>
      </c>
    </row>
    <row r="53" spans="1:16">
      <c r="A53" t="s">
        <v>79</v>
      </c>
      <c r="B53" t="s">
        <v>130</v>
      </c>
      <c r="C53" t="s">
        <v>15</v>
      </c>
      <c r="D53" t="s">
        <v>16</v>
      </c>
      <c r="E53" t="s">
        <v>17</v>
      </c>
      <c r="F53">
        <v>2016000</v>
      </c>
      <c r="G53">
        <f>IF(F53="","",F53*Parameters!$B$1)</f>
        <v>423360</v>
      </c>
      <c r="H53">
        <v>1000</v>
      </c>
      <c r="I53">
        <f>IF(H53="","",H53*Parameters!$B$2)</f>
        <v>320000</v>
      </c>
      <c r="J53">
        <f t="shared" si="0"/>
        <v>743360</v>
      </c>
      <c r="K53">
        <v>450</v>
      </c>
      <c r="L53">
        <f>IF(K53="","",K53*Parameters!$B$2)</f>
        <v>144000</v>
      </c>
      <c r="M53">
        <f t="shared" si="1"/>
        <v>567360</v>
      </c>
      <c r="N53">
        <v>520</v>
      </c>
      <c r="O53">
        <f>IF(N53="","",N53*Parameters!$B$2)</f>
        <v>166400</v>
      </c>
      <c r="P53">
        <f t="shared" si="2"/>
        <v>589760</v>
      </c>
    </row>
    <row r="54" spans="1:16">
      <c r="A54" t="s">
        <v>79</v>
      </c>
      <c r="B54" t="s">
        <v>131</v>
      </c>
      <c r="C54" t="s">
        <v>15</v>
      </c>
      <c r="D54" t="s">
        <v>16</v>
      </c>
      <c r="E54" t="s">
        <v>17</v>
      </c>
      <c r="F54">
        <v>2016000</v>
      </c>
      <c r="G54">
        <f>IF(F54="","",F54*Parameters!$B$1)</f>
        <v>423360</v>
      </c>
      <c r="H54">
        <v>1000</v>
      </c>
      <c r="I54">
        <f>IF(H54="","",H54*Parameters!$B$2)</f>
        <v>320000</v>
      </c>
      <c r="J54">
        <f t="shared" si="0"/>
        <v>743360</v>
      </c>
      <c r="K54">
        <v>450</v>
      </c>
      <c r="L54">
        <f>IF(K54="","",K54*Parameters!$B$2)</f>
        <v>144000</v>
      </c>
      <c r="M54">
        <f t="shared" si="1"/>
        <v>567360</v>
      </c>
      <c r="N54">
        <v>520</v>
      </c>
      <c r="O54">
        <f>IF(N54="","",N54*Parameters!$B$2)</f>
        <v>166400</v>
      </c>
      <c r="P54">
        <f t="shared" si="2"/>
        <v>589760</v>
      </c>
    </row>
    <row r="55" spans="1:16">
      <c r="A55" t="s">
        <v>79</v>
      </c>
      <c r="B55" t="s">
        <v>132</v>
      </c>
      <c r="C55" t="s">
        <v>15</v>
      </c>
      <c r="D55" t="s">
        <v>16</v>
      </c>
      <c r="E55" t="s">
        <v>17</v>
      </c>
      <c r="F55">
        <v>2016000</v>
      </c>
      <c r="G55">
        <f>IF(F55="","",F55*Parameters!$B$1)</f>
        <v>423360</v>
      </c>
      <c r="H55">
        <v>1000</v>
      </c>
      <c r="I55">
        <f>IF(H55="","",H55*Parameters!$B$2)</f>
        <v>320000</v>
      </c>
      <c r="J55">
        <f t="shared" si="0"/>
        <v>743360</v>
      </c>
      <c r="K55">
        <v>450</v>
      </c>
      <c r="L55">
        <f>IF(K55="","",K55*Parameters!$B$2)</f>
        <v>144000</v>
      </c>
      <c r="M55">
        <f t="shared" si="1"/>
        <v>567360</v>
      </c>
      <c r="N55">
        <v>520</v>
      </c>
      <c r="O55">
        <f>IF(N55="","",N55*Parameters!$B$2)</f>
        <v>166400</v>
      </c>
      <c r="P55">
        <f t="shared" si="2"/>
        <v>589760</v>
      </c>
    </row>
    <row r="56" spans="1:16">
      <c r="A56" t="s">
        <v>79</v>
      </c>
      <c r="B56" t="s">
        <v>133</v>
      </c>
      <c r="C56" t="s">
        <v>15</v>
      </c>
      <c r="D56" t="s">
        <v>16</v>
      </c>
      <c r="E56" t="s">
        <v>17</v>
      </c>
      <c r="F56">
        <v>2016000</v>
      </c>
      <c r="G56">
        <f>IF(F56="","",F56*Parameters!$B$1)</f>
        <v>423360</v>
      </c>
      <c r="H56">
        <v>1000</v>
      </c>
      <c r="I56">
        <f>IF(H56="","",H56*Parameters!$B$2)</f>
        <v>320000</v>
      </c>
      <c r="J56">
        <f t="shared" si="0"/>
        <v>743360</v>
      </c>
      <c r="K56">
        <v>450</v>
      </c>
      <c r="L56">
        <f>IF(K56="","",K56*Parameters!$B$2)</f>
        <v>144000</v>
      </c>
      <c r="M56">
        <f t="shared" si="1"/>
        <v>567360</v>
      </c>
      <c r="N56">
        <v>520</v>
      </c>
      <c r="O56">
        <f>IF(N56="","",N56*Parameters!$B$2)</f>
        <v>166400</v>
      </c>
      <c r="P56">
        <f t="shared" si="2"/>
        <v>589760</v>
      </c>
    </row>
    <row r="57" spans="1:16">
      <c r="A57" t="s">
        <v>79</v>
      </c>
      <c r="B57" t="s">
        <v>134</v>
      </c>
      <c r="C57" t="s">
        <v>15</v>
      </c>
      <c r="D57" t="s">
        <v>16</v>
      </c>
      <c r="E57" t="s">
        <v>17</v>
      </c>
      <c r="F57">
        <v>2529000</v>
      </c>
      <c r="G57">
        <f>IF(F57="","",F57*Parameters!$B$1)</f>
        <v>531090</v>
      </c>
      <c r="H57">
        <v>1000</v>
      </c>
      <c r="I57">
        <f>IF(H57="","",H57*Parameters!$B$2)</f>
        <v>320000</v>
      </c>
      <c r="J57">
        <f t="shared" si="0"/>
        <v>851090</v>
      </c>
      <c r="K57">
        <v>450</v>
      </c>
      <c r="L57">
        <f>IF(K57="","",K57*Parameters!$B$2)</f>
        <v>144000</v>
      </c>
      <c r="M57">
        <f t="shared" si="1"/>
        <v>675090</v>
      </c>
      <c r="N57">
        <v>520</v>
      </c>
      <c r="O57">
        <f>IF(N57="","",N57*Parameters!$B$2)</f>
        <v>166400</v>
      </c>
      <c r="P57">
        <f t="shared" si="2"/>
        <v>697490</v>
      </c>
    </row>
    <row r="58" spans="1:16">
      <c r="A58" t="s">
        <v>79</v>
      </c>
      <c r="B58" t="s">
        <v>135</v>
      </c>
      <c r="C58" t="s">
        <v>15</v>
      </c>
      <c r="D58" t="s">
        <v>16</v>
      </c>
      <c r="E58" t="s">
        <v>17</v>
      </c>
      <c r="F58">
        <v>2016000</v>
      </c>
      <c r="G58">
        <f>IF(F58="","",F58*Parameters!$B$1)</f>
        <v>423360</v>
      </c>
      <c r="H58">
        <v>1000</v>
      </c>
      <c r="I58">
        <f>IF(H58="","",H58*Parameters!$B$2)</f>
        <v>320000</v>
      </c>
      <c r="J58">
        <f t="shared" si="0"/>
        <v>743360</v>
      </c>
      <c r="K58">
        <v>450</v>
      </c>
      <c r="L58">
        <f>IF(K58="","",K58*Parameters!$B$2)</f>
        <v>144000</v>
      </c>
      <c r="M58">
        <f t="shared" si="1"/>
        <v>567360</v>
      </c>
      <c r="N58">
        <v>520</v>
      </c>
      <c r="O58">
        <f>IF(N58="","",N58*Parameters!$B$2)</f>
        <v>166400</v>
      </c>
      <c r="P58">
        <f t="shared" si="2"/>
        <v>589760</v>
      </c>
    </row>
    <row r="59" spans="1:16">
      <c r="A59" t="s">
        <v>79</v>
      </c>
      <c r="B59" t="s">
        <v>136</v>
      </c>
      <c r="C59" t="s">
        <v>15</v>
      </c>
      <c r="D59" t="s">
        <v>16</v>
      </c>
      <c r="E59" t="s">
        <v>17</v>
      </c>
      <c r="F59">
        <v>2529000</v>
      </c>
      <c r="G59">
        <f>IF(F59="","",F59*Parameters!$B$1)</f>
        <v>531090</v>
      </c>
      <c r="H59">
        <v>1000</v>
      </c>
      <c r="I59">
        <f>IF(H59="","",H59*Parameters!$B$2)</f>
        <v>320000</v>
      </c>
      <c r="J59">
        <f t="shared" si="0"/>
        <v>851090</v>
      </c>
      <c r="K59">
        <v>450</v>
      </c>
      <c r="L59">
        <f>IF(K59="","",K59*Parameters!$B$2)</f>
        <v>144000</v>
      </c>
      <c r="M59">
        <f t="shared" si="1"/>
        <v>675090</v>
      </c>
      <c r="N59">
        <v>520</v>
      </c>
      <c r="O59">
        <f>IF(N59="","",N59*Parameters!$B$2)</f>
        <v>166400</v>
      </c>
      <c r="P59">
        <f t="shared" si="2"/>
        <v>697490</v>
      </c>
    </row>
    <row r="60" spans="1:16">
      <c r="A60" t="s">
        <v>79</v>
      </c>
      <c r="B60" t="s">
        <v>137</v>
      </c>
      <c r="C60" t="s">
        <v>15</v>
      </c>
      <c r="D60" t="s">
        <v>16</v>
      </c>
      <c r="E60" t="s">
        <v>17</v>
      </c>
      <c r="F60">
        <v>2529000</v>
      </c>
      <c r="G60">
        <f>IF(F60="","",F60*Parameters!$B$1)</f>
        <v>531090</v>
      </c>
      <c r="H60">
        <v>1000</v>
      </c>
      <c r="I60">
        <f>IF(H60="","",H60*Parameters!$B$2)</f>
        <v>320000</v>
      </c>
      <c r="J60">
        <f t="shared" si="0"/>
        <v>851090</v>
      </c>
      <c r="K60">
        <v>450</v>
      </c>
      <c r="L60">
        <f>IF(K60="","",K60*Parameters!$B$2)</f>
        <v>144000</v>
      </c>
      <c r="M60">
        <f t="shared" si="1"/>
        <v>675090</v>
      </c>
      <c r="N60">
        <v>520</v>
      </c>
      <c r="O60">
        <f>IF(N60="","",N60*Parameters!$B$2)</f>
        <v>166400</v>
      </c>
      <c r="P60">
        <f t="shared" si="2"/>
        <v>697490</v>
      </c>
    </row>
    <row r="61" spans="1:16">
      <c r="A61" t="s">
        <v>79</v>
      </c>
      <c r="B61" t="s">
        <v>138</v>
      </c>
      <c r="C61" t="s">
        <v>15</v>
      </c>
      <c r="D61" t="s">
        <v>16</v>
      </c>
      <c r="E61" t="s">
        <v>17</v>
      </c>
      <c r="F61">
        <v>2779000</v>
      </c>
      <c r="G61">
        <f>IF(F61="","",F61*Parameters!$B$1)</f>
        <v>583590</v>
      </c>
      <c r="H61">
        <v>1000</v>
      </c>
      <c r="I61">
        <f>IF(H61="","",H61*Parameters!$B$2)</f>
        <v>320000</v>
      </c>
      <c r="J61">
        <f t="shared" si="0"/>
        <v>903590</v>
      </c>
      <c r="K61">
        <v>450</v>
      </c>
      <c r="L61">
        <f>IF(K61="","",K61*Parameters!$B$2)</f>
        <v>144000</v>
      </c>
      <c r="M61">
        <f t="shared" si="1"/>
        <v>727590</v>
      </c>
      <c r="N61">
        <v>520</v>
      </c>
      <c r="O61">
        <f>IF(N61="","",N61*Parameters!$B$2)</f>
        <v>166400</v>
      </c>
      <c r="P61">
        <f t="shared" si="2"/>
        <v>749990</v>
      </c>
    </row>
    <row r="62" spans="1:16">
      <c r="A62" t="s">
        <v>79</v>
      </c>
      <c r="B62" t="s">
        <v>139</v>
      </c>
      <c r="C62" t="s">
        <v>15</v>
      </c>
      <c r="D62" t="s">
        <v>16</v>
      </c>
      <c r="E62" t="s">
        <v>17</v>
      </c>
      <c r="F62">
        <v>2779000</v>
      </c>
      <c r="G62">
        <f>IF(F62="","",F62*Parameters!$B$1)</f>
        <v>583590</v>
      </c>
      <c r="H62">
        <v>1000</v>
      </c>
      <c r="I62">
        <f>IF(H62="","",H62*Parameters!$B$2)</f>
        <v>320000</v>
      </c>
      <c r="J62">
        <f t="shared" si="0"/>
        <v>903590</v>
      </c>
      <c r="K62">
        <v>450</v>
      </c>
      <c r="L62">
        <f>IF(K62="","",K62*Parameters!$B$2)</f>
        <v>144000</v>
      </c>
      <c r="M62">
        <f t="shared" si="1"/>
        <v>727590</v>
      </c>
      <c r="N62">
        <v>520</v>
      </c>
      <c r="O62">
        <f>IF(N62="","",N62*Parameters!$B$2)</f>
        <v>166400</v>
      </c>
      <c r="P62">
        <f t="shared" si="2"/>
        <v>749990</v>
      </c>
    </row>
    <row r="63" spans="1:16">
      <c r="A63" t="s">
        <v>79</v>
      </c>
      <c r="B63" t="s">
        <v>140</v>
      </c>
      <c r="C63" t="s">
        <v>15</v>
      </c>
      <c r="D63" t="s">
        <v>16</v>
      </c>
      <c r="E63" t="s">
        <v>17</v>
      </c>
      <c r="F63">
        <v>2779000</v>
      </c>
      <c r="G63">
        <f>IF(F63="","",F63*Parameters!$B$1)</f>
        <v>583590</v>
      </c>
      <c r="H63">
        <v>1000</v>
      </c>
      <c r="I63">
        <f>IF(H63="","",H63*Parameters!$B$2)</f>
        <v>320000</v>
      </c>
      <c r="J63">
        <f t="shared" si="0"/>
        <v>903590</v>
      </c>
      <c r="K63">
        <v>450</v>
      </c>
      <c r="L63">
        <f>IF(K63="","",K63*Parameters!$B$2)</f>
        <v>144000</v>
      </c>
      <c r="M63">
        <f t="shared" si="1"/>
        <v>727590</v>
      </c>
      <c r="N63">
        <v>520</v>
      </c>
      <c r="O63">
        <f>IF(N63="","",N63*Parameters!$B$2)</f>
        <v>166400</v>
      </c>
      <c r="P63">
        <f t="shared" si="2"/>
        <v>749990</v>
      </c>
    </row>
    <row r="64" spans="1:16">
      <c r="A64" t="s">
        <v>79</v>
      </c>
      <c r="B64" t="s">
        <v>141</v>
      </c>
      <c r="C64" t="s">
        <v>15</v>
      </c>
      <c r="D64" t="s">
        <v>16</v>
      </c>
      <c r="E64" t="s">
        <v>17</v>
      </c>
      <c r="F64">
        <v>2779000</v>
      </c>
      <c r="G64">
        <f>IF(F64="","",F64*Parameters!$B$1)</f>
        <v>583590</v>
      </c>
      <c r="H64">
        <v>1000</v>
      </c>
      <c r="I64">
        <f>IF(H64="","",H64*Parameters!$B$2)</f>
        <v>320000</v>
      </c>
      <c r="J64">
        <f t="shared" si="0"/>
        <v>903590</v>
      </c>
      <c r="K64">
        <v>450</v>
      </c>
      <c r="L64">
        <f>IF(K64="","",K64*Parameters!$B$2)</f>
        <v>144000</v>
      </c>
      <c r="M64">
        <f t="shared" si="1"/>
        <v>727590</v>
      </c>
      <c r="N64">
        <v>520</v>
      </c>
      <c r="O64">
        <f>IF(N64="","",N64*Parameters!$B$2)</f>
        <v>166400</v>
      </c>
      <c r="P64">
        <f t="shared" si="2"/>
        <v>749990</v>
      </c>
    </row>
    <row r="65" spans="1:16">
      <c r="A65" t="s">
        <v>79</v>
      </c>
      <c r="B65" t="s">
        <v>142</v>
      </c>
      <c r="C65" t="s">
        <v>15</v>
      </c>
      <c r="D65" t="s">
        <v>16</v>
      </c>
      <c r="E65" t="s">
        <v>17</v>
      </c>
      <c r="F65">
        <v>2779000</v>
      </c>
      <c r="G65">
        <f>IF(F65="","",F65*Parameters!$B$1)</f>
        <v>583590</v>
      </c>
      <c r="H65">
        <v>1000</v>
      </c>
      <c r="I65">
        <f>IF(H65="","",H65*Parameters!$B$2)</f>
        <v>320000</v>
      </c>
      <c r="J65">
        <f t="shared" si="0"/>
        <v>903590</v>
      </c>
      <c r="K65">
        <v>450</v>
      </c>
      <c r="L65">
        <f>IF(K65="","",K65*Parameters!$B$2)</f>
        <v>144000</v>
      </c>
      <c r="M65">
        <f t="shared" si="1"/>
        <v>727590</v>
      </c>
      <c r="N65">
        <v>520</v>
      </c>
      <c r="O65">
        <f>IF(N65="","",N65*Parameters!$B$2)</f>
        <v>166400</v>
      </c>
      <c r="P65">
        <f t="shared" si="2"/>
        <v>749990</v>
      </c>
    </row>
    <row r="66" spans="1:16">
      <c r="A66" t="s">
        <v>79</v>
      </c>
      <c r="B66" t="s">
        <v>143</v>
      </c>
      <c r="C66" t="s">
        <v>15</v>
      </c>
      <c r="D66" t="s">
        <v>16</v>
      </c>
      <c r="E66" t="s">
        <v>17</v>
      </c>
      <c r="F66">
        <v>2779000</v>
      </c>
      <c r="G66">
        <f>IF(F66="","",F66*Parameters!$B$1)</f>
        <v>583590</v>
      </c>
      <c r="H66">
        <v>1000</v>
      </c>
      <c r="I66">
        <f>IF(H66="","",H66*Parameters!$B$2)</f>
        <v>320000</v>
      </c>
      <c r="J66">
        <f t="shared" ref="J66:J129" si="3">IF(OR(G66="",I66=""),"",G66+I66)</f>
        <v>903590</v>
      </c>
      <c r="K66">
        <v>450</v>
      </c>
      <c r="L66">
        <f>IF(K66="","",K66*Parameters!$B$2)</f>
        <v>144000</v>
      </c>
      <c r="M66">
        <f t="shared" ref="M66:M129" si="4">IF(OR(G66="",L66=""),"",G66+L66)</f>
        <v>727590</v>
      </c>
      <c r="N66">
        <v>520</v>
      </c>
      <c r="O66">
        <f>IF(N66="","",N66*Parameters!$B$2)</f>
        <v>166400</v>
      </c>
      <c r="P66">
        <f t="shared" ref="P66:P129" si="5">IF(OR(G66="",O66=""),"",G66+O66)</f>
        <v>749990</v>
      </c>
    </row>
    <row r="67" spans="1:16">
      <c r="A67" t="s">
        <v>79</v>
      </c>
      <c r="B67" t="s">
        <v>144</v>
      </c>
      <c r="C67" t="s">
        <v>15</v>
      </c>
      <c r="D67" t="s">
        <v>16</v>
      </c>
      <c r="E67" t="s">
        <v>17</v>
      </c>
      <c r="F67">
        <v>2779000</v>
      </c>
      <c r="G67">
        <f>IF(F67="","",F67*Parameters!$B$1)</f>
        <v>583590</v>
      </c>
      <c r="H67">
        <v>1000</v>
      </c>
      <c r="I67">
        <f>IF(H67="","",H67*Parameters!$B$2)</f>
        <v>320000</v>
      </c>
      <c r="J67">
        <f t="shared" si="3"/>
        <v>903590</v>
      </c>
      <c r="K67">
        <v>450</v>
      </c>
      <c r="L67">
        <f>IF(K67="","",K67*Parameters!$B$2)</f>
        <v>144000</v>
      </c>
      <c r="M67">
        <f t="shared" si="4"/>
        <v>727590</v>
      </c>
      <c r="N67">
        <v>520</v>
      </c>
      <c r="O67">
        <f>IF(N67="","",N67*Parameters!$B$2)</f>
        <v>166400</v>
      </c>
      <c r="P67">
        <f t="shared" si="5"/>
        <v>749990</v>
      </c>
    </row>
    <row r="68" spans="1:16">
      <c r="A68" t="s">
        <v>79</v>
      </c>
      <c r="B68" t="s">
        <v>145</v>
      </c>
      <c r="C68" t="s">
        <v>15</v>
      </c>
      <c r="D68" t="s">
        <v>16</v>
      </c>
      <c r="E68" t="s">
        <v>17</v>
      </c>
      <c r="F68">
        <v>2779000</v>
      </c>
      <c r="G68">
        <f>IF(F68="","",F68*Parameters!$B$1)</f>
        <v>583590</v>
      </c>
      <c r="H68">
        <v>1000</v>
      </c>
      <c r="I68">
        <f>IF(H68="","",H68*Parameters!$B$2)</f>
        <v>320000</v>
      </c>
      <c r="J68">
        <f t="shared" si="3"/>
        <v>903590</v>
      </c>
      <c r="K68">
        <v>450</v>
      </c>
      <c r="L68">
        <f>IF(K68="","",K68*Parameters!$B$2)</f>
        <v>144000</v>
      </c>
      <c r="M68">
        <f t="shared" si="4"/>
        <v>727590</v>
      </c>
      <c r="N68">
        <v>520</v>
      </c>
      <c r="O68">
        <f>IF(N68="","",N68*Parameters!$B$2)</f>
        <v>166400</v>
      </c>
      <c r="P68">
        <f t="shared" si="5"/>
        <v>749990</v>
      </c>
    </row>
    <row r="69" spans="1:16">
      <c r="A69" t="s">
        <v>79</v>
      </c>
      <c r="B69" t="s">
        <v>146</v>
      </c>
      <c r="C69" t="s">
        <v>15</v>
      </c>
      <c r="D69" t="s">
        <v>16</v>
      </c>
      <c r="E69" t="s">
        <v>17</v>
      </c>
      <c r="F69">
        <v>2779000</v>
      </c>
      <c r="G69">
        <f>IF(F69="","",F69*Parameters!$B$1)</f>
        <v>583590</v>
      </c>
      <c r="H69">
        <v>1000</v>
      </c>
      <c r="I69">
        <f>IF(H69="","",H69*Parameters!$B$2)</f>
        <v>320000</v>
      </c>
      <c r="J69">
        <f t="shared" si="3"/>
        <v>903590</v>
      </c>
      <c r="K69">
        <v>450</v>
      </c>
      <c r="L69">
        <f>IF(K69="","",K69*Parameters!$B$2)</f>
        <v>144000</v>
      </c>
      <c r="M69">
        <f t="shared" si="4"/>
        <v>727590</v>
      </c>
      <c r="N69">
        <v>520</v>
      </c>
      <c r="O69">
        <f>IF(N69="","",N69*Parameters!$B$2)</f>
        <v>166400</v>
      </c>
      <c r="P69">
        <f t="shared" si="5"/>
        <v>749990</v>
      </c>
    </row>
    <row r="70" spans="1:16">
      <c r="A70" t="s">
        <v>79</v>
      </c>
      <c r="B70" t="s">
        <v>147</v>
      </c>
      <c r="C70" t="s">
        <v>15</v>
      </c>
      <c r="D70" t="s">
        <v>16</v>
      </c>
      <c r="E70" t="s">
        <v>17</v>
      </c>
      <c r="F70">
        <v>2779000</v>
      </c>
      <c r="G70">
        <f>IF(F70="","",F70*Parameters!$B$1)</f>
        <v>583590</v>
      </c>
      <c r="H70">
        <v>1000</v>
      </c>
      <c r="I70">
        <f>IF(H70="","",H70*Parameters!$B$2)</f>
        <v>320000</v>
      </c>
      <c r="J70">
        <f t="shared" si="3"/>
        <v>903590</v>
      </c>
      <c r="K70">
        <v>450</v>
      </c>
      <c r="L70">
        <f>IF(K70="","",K70*Parameters!$B$2)</f>
        <v>144000</v>
      </c>
      <c r="M70">
        <f t="shared" si="4"/>
        <v>727590</v>
      </c>
      <c r="N70">
        <v>520</v>
      </c>
      <c r="O70">
        <f>IF(N70="","",N70*Parameters!$B$2)</f>
        <v>166400</v>
      </c>
      <c r="P70">
        <f t="shared" si="5"/>
        <v>749990</v>
      </c>
    </row>
    <row r="71" spans="1:16">
      <c r="A71" t="s">
        <v>79</v>
      </c>
      <c r="B71" t="s">
        <v>148</v>
      </c>
      <c r="C71" t="s">
        <v>15</v>
      </c>
      <c r="D71" t="s">
        <v>16</v>
      </c>
      <c r="E71" t="s">
        <v>17</v>
      </c>
      <c r="F71">
        <v>2779000</v>
      </c>
      <c r="G71">
        <f>IF(F71="","",F71*Parameters!$B$1)</f>
        <v>583590</v>
      </c>
      <c r="H71">
        <v>1000</v>
      </c>
      <c r="I71">
        <f>IF(H71="","",H71*Parameters!$B$2)</f>
        <v>320000</v>
      </c>
      <c r="J71">
        <f t="shared" si="3"/>
        <v>903590</v>
      </c>
      <c r="K71">
        <v>450</v>
      </c>
      <c r="L71">
        <f>IF(K71="","",K71*Parameters!$B$2)</f>
        <v>144000</v>
      </c>
      <c r="M71">
        <f t="shared" si="4"/>
        <v>727590</v>
      </c>
      <c r="N71">
        <v>520</v>
      </c>
      <c r="O71">
        <f>IF(N71="","",N71*Parameters!$B$2)</f>
        <v>166400</v>
      </c>
      <c r="P71">
        <f t="shared" si="5"/>
        <v>749990</v>
      </c>
    </row>
    <row r="72" spans="1:16">
      <c r="A72" t="s">
        <v>79</v>
      </c>
      <c r="B72" t="s">
        <v>149</v>
      </c>
      <c r="C72" t="s">
        <v>15</v>
      </c>
      <c r="D72" t="s">
        <v>16</v>
      </c>
      <c r="E72" t="s">
        <v>17</v>
      </c>
      <c r="F72">
        <v>2779000</v>
      </c>
      <c r="G72">
        <f>IF(F72="","",F72*Parameters!$B$1)</f>
        <v>583590</v>
      </c>
      <c r="H72">
        <v>1000</v>
      </c>
      <c r="I72">
        <f>IF(H72="","",H72*Parameters!$B$2)</f>
        <v>320000</v>
      </c>
      <c r="J72">
        <f t="shared" si="3"/>
        <v>903590</v>
      </c>
      <c r="K72">
        <v>450</v>
      </c>
      <c r="L72">
        <f>IF(K72="","",K72*Parameters!$B$2)</f>
        <v>144000</v>
      </c>
      <c r="M72">
        <f t="shared" si="4"/>
        <v>727590</v>
      </c>
      <c r="N72">
        <v>520</v>
      </c>
      <c r="O72">
        <f>IF(N72="","",N72*Parameters!$B$2)</f>
        <v>166400</v>
      </c>
      <c r="P72">
        <f t="shared" si="5"/>
        <v>749990</v>
      </c>
    </row>
    <row r="73" spans="1:16">
      <c r="A73" t="s">
        <v>79</v>
      </c>
      <c r="B73" t="s">
        <v>150</v>
      </c>
      <c r="C73" t="s">
        <v>15</v>
      </c>
      <c r="D73" t="s">
        <v>16</v>
      </c>
      <c r="E73" t="s">
        <v>17</v>
      </c>
      <c r="F73">
        <v>2779000</v>
      </c>
      <c r="G73">
        <f>IF(F73="","",F73*Parameters!$B$1)</f>
        <v>583590</v>
      </c>
      <c r="H73">
        <v>1000</v>
      </c>
      <c r="I73">
        <f>IF(H73="","",H73*Parameters!$B$2)</f>
        <v>320000</v>
      </c>
      <c r="J73">
        <f t="shared" si="3"/>
        <v>903590</v>
      </c>
      <c r="K73">
        <v>450</v>
      </c>
      <c r="L73">
        <f>IF(K73="","",K73*Parameters!$B$2)</f>
        <v>144000</v>
      </c>
      <c r="M73">
        <f t="shared" si="4"/>
        <v>727590</v>
      </c>
      <c r="N73">
        <v>520</v>
      </c>
      <c r="O73">
        <f>IF(N73="","",N73*Parameters!$B$2)</f>
        <v>166400</v>
      </c>
      <c r="P73">
        <f t="shared" si="5"/>
        <v>749990</v>
      </c>
    </row>
    <row r="74" spans="1:16">
      <c r="A74" t="s">
        <v>79</v>
      </c>
      <c r="B74" t="s">
        <v>151</v>
      </c>
      <c r="C74" t="s">
        <v>15</v>
      </c>
      <c r="D74" t="s">
        <v>16</v>
      </c>
      <c r="E74" t="s">
        <v>17</v>
      </c>
      <c r="F74">
        <v>2779000</v>
      </c>
      <c r="G74">
        <f>IF(F74="","",F74*Parameters!$B$1)</f>
        <v>583590</v>
      </c>
      <c r="H74">
        <v>1000</v>
      </c>
      <c r="I74">
        <f>IF(H74="","",H74*Parameters!$B$2)</f>
        <v>320000</v>
      </c>
      <c r="J74">
        <f t="shared" si="3"/>
        <v>903590</v>
      </c>
      <c r="K74">
        <v>450</v>
      </c>
      <c r="L74">
        <f>IF(K74="","",K74*Parameters!$B$2)</f>
        <v>144000</v>
      </c>
      <c r="M74">
        <f t="shared" si="4"/>
        <v>727590</v>
      </c>
      <c r="N74">
        <v>520</v>
      </c>
      <c r="O74">
        <f>IF(N74="","",N74*Parameters!$B$2)</f>
        <v>166400</v>
      </c>
      <c r="P74">
        <f t="shared" si="5"/>
        <v>749990</v>
      </c>
    </row>
    <row r="75" spans="1:16">
      <c r="A75" t="s">
        <v>79</v>
      </c>
      <c r="B75" t="s">
        <v>152</v>
      </c>
      <c r="C75" t="s">
        <v>15</v>
      </c>
      <c r="D75" t="s">
        <v>16</v>
      </c>
      <c r="E75" t="s">
        <v>17</v>
      </c>
      <c r="F75">
        <v>2779000</v>
      </c>
      <c r="G75">
        <f>IF(F75="","",F75*Parameters!$B$1)</f>
        <v>583590</v>
      </c>
      <c r="H75">
        <v>1000</v>
      </c>
      <c r="I75">
        <f>IF(H75="","",H75*Parameters!$B$2)</f>
        <v>320000</v>
      </c>
      <c r="J75">
        <f t="shared" si="3"/>
        <v>903590</v>
      </c>
      <c r="K75">
        <v>450</v>
      </c>
      <c r="L75">
        <f>IF(K75="","",K75*Parameters!$B$2)</f>
        <v>144000</v>
      </c>
      <c r="M75">
        <f t="shared" si="4"/>
        <v>727590</v>
      </c>
      <c r="N75">
        <v>520</v>
      </c>
      <c r="O75">
        <f>IF(N75="","",N75*Parameters!$B$2)</f>
        <v>166400</v>
      </c>
      <c r="P75">
        <f t="shared" si="5"/>
        <v>749990</v>
      </c>
    </row>
    <row r="76" spans="1:16">
      <c r="A76" t="s">
        <v>79</v>
      </c>
      <c r="B76" t="s">
        <v>153</v>
      </c>
      <c r="C76" t="s">
        <v>15</v>
      </c>
      <c r="D76" t="s">
        <v>16</v>
      </c>
      <c r="E76" t="s">
        <v>17</v>
      </c>
      <c r="F76">
        <v>2016000</v>
      </c>
      <c r="G76">
        <f>IF(F76="","",F76*Parameters!$B$1)</f>
        <v>423360</v>
      </c>
      <c r="H76">
        <v>1000</v>
      </c>
      <c r="I76">
        <f>IF(H76="","",H76*Parameters!$B$2)</f>
        <v>320000</v>
      </c>
      <c r="J76">
        <f t="shared" si="3"/>
        <v>743360</v>
      </c>
      <c r="K76">
        <v>450</v>
      </c>
      <c r="L76">
        <f>IF(K76="","",K76*Parameters!$B$2)</f>
        <v>144000</v>
      </c>
      <c r="M76">
        <f t="shared" si="4"/>
        <v>567360</v>
      </c>
      <c r="N76">
        <v>520</v>
      </c>
      <c r="O76">
        <f>IF(N76="","",N76*Parameters!$B$2)</f>
        <v>166400</v>
      </c>
      <c r="P76">
        <f t="shared" si="5"/>
        <v>589760</v>
      </c>
    </row>
    <row r="77" spans="1:16">
      <c r="A77" t="s">
        <v>79</v>
      </c>
      <c r="B77" t="s">
        <v>154</v>
      </c>
      <c r="C77" t="s">
        <v>15</v>
      </c>
      <c r="D77" t="s">
        <v>16</v>
      </c>
      <c r="E77" t="s">
        <v>17</v>
      </c>
      <c r="F77">
        <v>2016000</v>
      </c>
      <c r="G77">
        <f>IF(F77="","",F77*Parameters!$B$1)</f>
        <v>423360</v>
      </c>
      <c r="H77">
        <v>1000</v>
      </c>
      <c r="I77">
        <f>IF(H77="","",H77*Parameters!$B$2)</f>
        <v>320000</v>
      </c>
      <c r="J77">
        <f t="shared" si="3"/>
        <v>743360</v>
      </c>
      <c r="K77">
        <v>450</v>
      </c>
      <c r="L77">
        <f>IF(K77="","",K77*Parameters!$B$2)</f>
        <v>144000</v>
      </c>
      <c r="M77">
        <f t="shared" si="4"/>
        <v>567360</v>
      </c>
      <c r="N77">
        <v>520</v>
      </c>
      <c r="O77">
        <f>IF(N77="","",N77*Parameters!$B$2)</f>
        <v>166400</v>
      </c>
      <c r="P77">
        <f t="shared" si="5"/>
        <v>589760</v>
      </c>
    </row>
    <row r="78" spans="1:16">
      <c r="A78" t="s">
        <v>79</v>
      </c>
      <c r="B78" t="s">
        <v>155</v>
      </c>
      <c r="C78" t="s">
        <v>15</v>
      </c>
      <c r="D78" t="s">
        <v>16</v>
      </c>
      <c r="E78" t="s">
        <v>17</v>
      </c>
      <c r="F78">
        <v>2016000</v>
      </c>
      <c r="G78">
        <f>IF(F78="","",F78*Parameters!$B$1)</f>
        <v>423360</v>
      </c>
      <c r="H78">
        <v>1000</v>
      </c>
      <c r="I78">
        <f>IF(H78="","",H78*Parameters!$B$2)</f>
        <v>320000</v>
      </c>
      <c r="J78">
        <f t="shared" si="3"/>
        <v>743360</v>
      </c>
      <c r="K78">
        <v>450</v>
      </c>
      <c r="L78">
        <f>IF(K78="","",K78*Parameters!$B$2)</f>
        <v>144000</v>
      </c>
      <c r="M78">
        <f t="shared" si="4"/>
        <v>567360</v>
      </c>
      <c r="N78">
        <v>520</v>
      </c>
      <c r="O78">
        <f>IF(N78="","",N78*Parameters!$B$2)</f>
        <v>166400</v>
      </c>
      <c r="P78">
        <f t="shared" si="5"/>
        <v>589760</v>
      </c>
    </row>
    <row r="79" spans="1:16">
      <c r="A79" t="s">
        <v>79</v>
      </c>
      <c r="B79" t="s">
        <v>156</v>
      </c>
      <c r="C79" t="s">
        <v>15</v>
      </c>
      <c r="D79" t="s">
        <v>16</v>
      </c>
      <c r="E79" t="s">
        <v>17</v>
      </c>
      <c r="F79">
        <v>2016000</v>
      </c>
      <c r="G79">
        <f>IF(F79="","",F79*Parameters!$B$1)</f>
        <v>423360</v>
      </c>
      <c r="H79">
        <v>1000</v>
      </c>
      <c r="I79">
        <f>IF(H79="","",H79*Parameters!$B$2)</f>
        <v>320000</v>
      </c>
      <c r="J79">
        <f t="shared" si="3"/>
        <v>743360</v>
      </c>
      <c r="K79">
        <v>450</v>
      </c>
      <c r="L79">
        <f>IF(K79="","",K79*Parameters!$B$2)</f>
        <v>144000</v>
      </c>
      <c r="M79">
        <f t="shared" si="4"/>
        <v>567360</v>
      </c>
      <c r="N79">
        <v>520</v>
      </c>
      <c r="O79">
        <f>IF(N79="","",N79*Parameters!$B$2)</f>
        <v>166400</v>
      </c>
      <c r="P79">
        <f t="shared" si="5"/>
        <v>589760</v>
      </c>
    </row>
    <row r="80" spans="1:16">
      <c r="A80" t="s">
        <v>79</v>
      </c>
      <c r="B80" t="s">
        <v>157</v>
      </c>
      <c r="C80" t="s">
        <v>15</v>
      </c>
      <c r="D80" t="s">
        <v>16</v>
      </c>
      <c r="E80" t="s">
        <v>17</v>
      </c>
      <c r="F80">
        <v>2016000</v>
      </c>
      <c r="G80">
        <f>IF(F80="","",F80*Parameters!$B$1)</f>
        <v>423360</v>
      </c>
      <c r="H80">
        <v>1000</v>
      </c>
      <c r="I80">
        <f>IF(H80="","",H80*Parameters!$B$2)</f>
        <v>320000</v>
      </c>
      <c r="J80">
        <f t="shared" si="3"/>
        <v>743360</v>
      </c>
      <c r="K80">
        <v>450</v>
      </c>
      <c r="L80">
        <f>IF(K80="","",K80*Parameters!$B$2)</f>
        <v>144000</v>
      </c>
      <c r="M80">
        <f t="shared" si="4"/>
        <v>567360</v>
      </c>
      <c r="N80">
        <v>520</v>
      </c>
      <c r="O80">
        <f>IF(N80="","",N80*Parameters!$B$2)</f>
        <v>166400</v>
      </c>
      <c r="P80">
        <f t="shared" si="5"/>
        <v>589760</v>
      </c>
    </row>
    <row r="81" spans="1:16">
      <c r="A81" t="s">
        <v>79</v>
      </c>
      <c r="B81" t="s">
        <v>158</v>
      </c>
      <c r="C81" t="s">
        <v>15</v>
      </c>
      <c r="D81" t="s">
        <v>16</v>
      </c>
      <c r="E81" t="s">
        <v>17</v>
      </c>
      <c r="F81">
        <v>2016000</v>
      </c>
      <c r="G81">
        <f>IF(F81="","",F81*Parameters!$B$1)</f>
        <v>423360</v>
      </c>
      <c r="H81">
        <v>1000</v>
      </c>
      <c r="I81">
        <f>IF(H81="","",H81*Parameters!$B$2)</f>
        <v>320000</v>
      </c>
      <c r="J81">
        <f t="shared" si="3"/>
        <v>743360</v>
      </c>
      <c r="K81">
        <v>450</v>
      </c>
      <c r="L81">
        <f>IF(K81="","",K81*Parameters!$B$2)</f>
        <v>144000</v>
      </c>
      <c r="M81">
        <f t="shared" si="4"/>
        <v>567360</v>
      </c>
      <c r="N81">
        <v>520</v>
      </c>
      <c r="O81">
        <f>IF(N81="","",N81*Parameters!$B$2)</f>
        <v>166400</v>
      </c>
      <c r="P81">
        <f t="shared" si="5"/>
        <v>589760</v>
      </c>
    </row>
    <row r="82" spans="1:16">
      <c r="A82" t="s">
        <v>79</v>
      </c>
      <c r="B82" t="s">
        <v>159</v>
      </c>
      <c r="C82" t="s">
        <v>15</v>
      </c>
      <c r="D82" t="s">
        <v>16</v>
      </c>
      <c r="E82" t="s">
        <v>17</v>
      </c>
      <c r="F82">
        <v>2016000</v>
      </c>
      <c r="G82">
        <f>IF(F82="","",F82*Parameters!$B$1)</f>
        <v>423360</v>
      </c>
      <c r="H82">
        <v>1000</v>
      </c>
      <c r="I82">
        <f>IF(H82="","",H82*Parameters!$B$2)</f>
        <v>320000</v>
      </c>
      <c r="J82">
        <f t="shared" si="3"/>
        <v>743360</v>
      </c>
      <c r="K82">
        <v>450</v>
      </c>
      <c r="L82">
        <f>IF(K82="","",K82*Parameters!$B$2)</f>
        <v>144000</v>
      </c>
      <c r="M82">
        <f t="shared" si="4"/>
        <v>567360</v>
      </c>
      <c r="N82">
        <v>520</v>
      </c>
      <c r="O82">
        <f>IF(N82="","",N82*Parameters!$B$2)</f>
        <v>166400</v>
      </c>
      <c r="P82">
        <f t="shared" si="5"/>
        <v>589760</v>
      </c>
    </row>
    <row r="83" spans="1:16">
      <c r="A83" t="s">
        <v>79</v>
      </c>
      <c r="B83" t="s">
        <v>160</v>
      </c>
      <c r="C83" t="s">
        <v>15</v>
      </c>
      <c r="D83" t="s">
        <v>16</v>
      </c>
      <c r="E83" t="s">
        <v>17</v>
      </c>
      <c r="F83">
        <v>2016000</v>
      </c>
      <c r="G83">
        <f>IF(F83="","",F83*Parameters!$B$1)</f>
        <v>423360</v>
      </c>
      <c r="H83">
        <v>1000</v>
      </c>
      <c r="I83">
        <f>IF(H83="","",H83*Parameters!$B$2)</f>
        <v>320000</v>
      </c>
      <c r="J83">
        <f t="shared" si="3"/>
        <v>743360</v>
      </c>
      <c r="K83">
        <v>450</v>
      </c>
      <c r="L83">
        <f>IF(K83="","",K83*Parameters!$B$2)</f>
        <v>144000</v>
      </c>
      <c r="M83">
        <f t="shared" si="4"/>
        <v>567360</v>
      </c>
      <c r="N83">
        <v>520</v>
      </c>
      <c r="O83">
        <f>IF(N83="","",N83*Parameters!$B$2)</f>
        <v>166400</v>
      </c>
      <c r="P83">
        <f t="shared" si="5"/>
        <v>589760</v>
      </c>
    </row>
    <row r="84" spans="1:16">
      <c r="A84" t="s">
        <v>79</v>
      </c>
      <c r="B84" t="s">
        <v>161</v>
      </c>
      <c r="C84" t="s">
        <v>15</v>
      </c>
      <c r="D84" t="s">
        <v>16</v>
      </c>
      <c r="E84" t="s">
        <v>17</v>
      </c>
      <c r="F84">
        <v>2016000</v>
      </c>
      <c r="G84">
        <f>IF(F84="","",F84*Parameters!$B$1)</f>
        <v>423360</v>
      </c>
      <c r="H84">
        <v>1000</v>
      </c>
      <c r="I84">
        <f>IF(H84="","",H84*Parameters!$B$2)</f>
        <v>320000</v>
      </c>
      <c r="J84">
        <f t="shared" si="3"/>
        <v>743360</v>
      </c>
      <c r="K84">
        <v>450</v>
      </c>
      <c r="L84">
        <f>IF(K84="","",K84*Parameters!$B$2)</f>
        <v>144000</v>
      </c>
      <c r="M84">
        <f t="shared" si="4"/>
        <v>567360</v>
      </c>
      <c r="N84">
        <v>520</v>
      </c>
      <c r="O84">
        <f>IF(N84="","",N84*Parameters!$B$2)</f>
        <v>166400</v>
      </c>
      <c r="P84">
        <f t="shared" si="5"/>
        <v>589760</v>
      </c>
    </row>
    <row r="85" spans="1:16">
      <c r="A85" t="s">
        <v>79</v>
      </c>
      <c r="B85" t="s">
        <v>162</v>
      </c>
      <c r="C85" t="s">
        <v>15</v>
      </c>
      <c r="D85" t="s">
        <v>16</v>
      </c>
      <c r="E85" t="s">
        <v>17</v>
      </c>
      <c r="F85">
        <v>2016000</v>
      </c>
      <c r="G85">
        <f>IF(F85="","",F85*Parameters!$B$1)</f>
        <v>423360</v>
      </c>
      <c r="H85">
        <v>1000</v>
      </c>
      <c r="I85">
        <f>IF(H85="","",H85*Parameters!$B$2)</f>
        <v>320000</v>
      </c>
      <c r="J85">
        <f t="shared" si="3"/>
        <v>743360</v>
      </c>
      <c r="K85">
        <v>450</v>
      </c>
      <c r="L85">
        <f>IF(K85="","",K85*Parameters!$B$2)</f>
        <v>144000</v>
      </c>
      <c r="M85">
        <f t="shared" si="4"/>
        <v>567360</v>
      </c>
      <c r="N85">
        <v>520</v>
      </c>
      <c r="O85">
        <f>IF(N85="","",N85*Parameters!$B$2)</f>
        <v>166400</v>
      </c>
      <c r="P85">
        <f t="shared" si="5"/>
        <v>589760</v>
      </c>
    </row>
    <row r="86" spans="1:16">
      <c r="A86" t="s">
        <v>79</v>
      </c>
      <c r="B86" t="s">
        <v>163</v>
      </c>
      <c r="C86" t="s">
        <v>15</v>
      </c>
      <c r="D86" t="s">
        <v>16</v>
      </c>
      <c r="E86" t="s">
        <v>17</v>
      </c>
      <c r="F86">
        <v>2016000</v>
      </c>
      <c r="G86">
        <f>IF(F86="","",F86*Parameters!$B$1)</f>
        <v>423360</v>
      </c>
      <c r="H86">
        <v>1000</v>
      </c>
      <c r="I86">
        <f>IF(H86="","",H86*Parameters!$B$2)</f>
        <v>320000</v>
      </c>
      <c r="J86">
        <f t="shared" si="3"/>
        <v>743360</v>
      </c>
      <c r="K86">
        <v>450</v>
      </c>
      <c r="L86">
        <f>IF(K86="","",K86*Parameters!$B$2)</f>
        <v>144000</v>
      </c>
      <c r="M86">
        <f t="shared" si="4"/>
        <v>567360</v>
      </c>
      <c r="N86">
        <v>520</v>
      </c>
      <c r="O86">
        <f>IF(N86="","",N86*Parameters!$B$2)</f>
        <v>166400</v>
      </c>
      <c r="P86">
        <f t="shared" si="5"/>
        <v>589760</v>
      </c>
    </row>
    <row r="87" spans="1:16">
      <c r="A87" t="s">
        <v>79</v>
      </c>
      <c r="B87" t="s">
        <v>164</v>
      </c>
      <c r="C87" t="s">
        <v>15</v>
      </c>
      <c r="D87" t="s">
        <v>16</v>
      </c>
      <c r="E87" t="s">
        <v>17</v>
      </c>
      <c r="F87">
        <v>2529000</v>
      </c>
      <c r="G87">
        <f>IF(F87="","",F87*Parameters!$B$1)</f>
        <v>531090</v>
      </c>
      <c r="H87">
        <v>1000</v>
      </c>
      <c r="I87">
        <f>IF(H87="","",H87*Parameters!$B$2)</f>
        <v>320000</v>
      </c>
      <c r="J87">
        <f t="shared" si="3"/>
        <v>851090</v>
      </c>
      <c r="K87">
        <v>450</v>
      </c>
      <c r="L87">
        <f>IF(K87="","",K87*Parameters!$B$2)</f>
        <v>144000</v>
      </c>
      <c r="M87">
        <f t="shared" si="4"/>
        <v>675090</v>
      </c>
      <c r="N87">
        <v>520</v>
      </c>
      <c r="O87">
        <f>IF(N87="","",N87*Parameters!$B$2)</f>
        <v>166400</v>
      </c>
      <c r="P87">
        <f t="shared" si="5"/>
        <v>697490</v>
      </c>
    </row>
    <row r="88" spans="1:16">
      <c r="A88" t="s">
        <v>79</v>
      </c>
      <c r="B88" t="s">
        <v>165</v>
      </c>
      <c r="C88" t="s">
        <v>15</v>
      </c>
      <c r="D88" t="s">
        <v>16</v>
      </c>
      <c r="E88" t="s">
        <v>17</v>
      </c>
      <c r="F88">
        <v>2529000</v>
      </c>
      <c r="G88">
        <f>IF(F88="","",F88*Parameters!$B$1)</f>
        <v>531090</v>
      </c>
      <c r="H88">
        <v>1000</v>
      </c>
      <c r="I88">
        <f>IF(H88="","",H88*Parameters!$B$2)</f>
        <v>320000</v>
      </c>
      <c r="J88">
        <f t="shared" si="3"/>
        <v>851090</v>
      </c>
      <c r="K88">
        <v>450</v>
      </c>
      <c r="L88">
        <f>IF(K88="","",K88*Parameters!$B$2)</f>
        <v>144000</v>
      </c>
      <c r="M88">
        <f t="shared" si="4"/>
        <v>675090</v>
      </c>
      <c r="N88">
        <v>520</v>
      </c>
      <c r="O88">
        <f>IF(N88="","",N88*Parameters!$B$2)</f>
        <v>166400</v>
      </c>
      <c r="P88">
        <f t="shared" si="5"/>
        <v>697490</v>
      </c>
    </row>
    <row r="89" spans="1:16">
      <c r="A89" t="s">
        <v>79</v>
      </c>
      <c r="B89" t="s">
        <v>166</v>
      </c>
      <c r="C89" t="s">
        <v>15</v>
      </c>
      <c r="D89" t="s">
        <v>16</v>
      </c>
      <c r="E89" t="s">
        <v>17</v>
      </c>
      <c r="F89">
        <v>2025000</v>
      </c>
      <c r="G89">
        <f>IF(F89="","",F89*Parameters!$B$1)</f>
        <v>425250</v>
      </c>
      <c r="H89">
        <v>1000</v>
      </c>
      <c r="I89">
        <f>IF(H89="","",H89*Parameters!$B$2)</f>
        <v>320000</v>
      </c>
      <c r="J89">
        <f t="shared" si="3"/>
        <v>745250</v>
      </c>
      <c r="K89">
        <v>450</v>
      </c>
      <c r="L89">
        <f>IF(K89="","",K89*Parameters!$B$2)</f>
        <v>144000</v>
      </c>
      <c r="M89">
        <f t="shared" si="4"/>
        <v>569250</v>
      </c>
      <c r="N89">
        <v>520</v>
      </c>
      <c r="O89">
        <f>IF(N89="","",N89*Parameters!$B$2)</f>
        <v>166400</v>
      </c>
      <c r="P89">
        <f t="shared" si="5"/>
        <v>591650</v>
      </c>
    </row>
    <row r="90" spans="1:16">
      <c r="A90" t="s">
        <v>79</v>
      </c>
      <c r="B90" t="s">
        <v>167</v>
      </c>
      <c r="C90" t="s">
        <v>15</v>
      </c>
      <c r="D90" t="s">
        <v>16</v>
      </c>
      <c r="E90" t="s">
        <v>17</v>
      </c>
      <c r="F90">
        <v>2529000</v>
      </c>
      <c r="G90">
        <f>IF(F90="","",F90*Parameters!$B$1)</f>
        <v>531090</v>
      </c>
      <c r="H90">
        <v>1000</v>
      </c>
      <c r="I90">
        <f>IF(H90="","",H90*Parameters!$B$2)</f>
        <v>320000</v>
      </c>
      <c r="J90">
        <f t="shared" si="3"/>
        <v>851090</v>
      </c>
      <c r="K90">
        <v>450</v>
      </c>
      <c r="L90">
        <f>IF(K90="","",K90*Parameters!$B$2)</f>
        <v>144000</v>
      </c>
      <c r="M90">
        <f t="shared" si="4"/>
        <v>675090</v>
      </c>
      <c r="N90">
        <v>520</v>
      </c>
      <c r="O90">
        <f>IF(N90="","",N90*Parameters!$B$2)</f>
        <v>166400</v>
      </c>
      <c r="P90">
        <f t="shared" si="5"/>
        <v>697490</v>
      </c>
    </row>
    <row r="91" spans="1:16">
      <c r="A91" t="s">
        <v>79</v>
      </c>
      <c r="B91" t="s">
        <v>168</v>
      </c>
      <c r="C91" t="s">
        <v>15</v>
      </c>
      <c r="D91" t="s">
        <v>16</v>
      </c>
      <c r="E91" t="s">
        <v>17</v>
      </c>
      <c r="F91">
        <v>2529000</v>
      </c>
      <c r="G91">
        <f>IF(F91="","",F91*Parameters!$B$1)</f>
        <v>531090</v>
      </c>
      <c r="H91">
        <v>1000</v>
      </c>
      <c r="I91">
        <f>IF(H91="","",H91*Parameters!$B$2)</f>
        <v>320000</v>
      </c>
      <c r="J91">
        <f t="shared" si="3"/>
        <v>851090</v>
      </c>
      <c r="K91">
        <v>450</v>
      </c>
      <c r="L91">
        <f>IF(K91="","",K91*Parameters!$B$2)</f>
        <v>144000</v>
      </c>
      <c r="M91">
        <f t="shared" si="4"/>
        <v>675090</v>
      </c>
      <c r="N91">
        <v>520</v>
      </c>
      <c r="O91">
        <f>IF(N91="","",N91*Parameters!$B$2)</f>
        <v>166400</v>
      </c>
      <c r="P91">
        <f t="shared" si="5"/>
        <v>697490</v>
      </c>
    </row>
    <row r="92" spans="1:16">
      <c r="A92" t="s">
        <v>79</v>
      </c>
      <c r="B92" t="s">
        <v>169</v>
      </c>
      <c r="C92" t="s">
        <v>15</v>
      </c>
      <c r="D92" t="s">
        <v>16</v>
      </c>
      <c r="E92" t="s">
        <v>17</v>
      </c>
      <c r="F92">
        <v>2529000</v>
      </c>
      <c r="G92">
        <f>IF(F92="","",F92*Parameters!$B$1)</f>
        <v>531090</v>
      </c>
      <c r="H92">
        <v>1000</v>
      </c>
      <c r="I92">
        <f>IF(H92="","",H92*Parameters!$B$2)</f>
        <v>320000</v>
      </c>
      <c r="J92">
        <f t="shared" si="3"/>
        <v>851090</v>
      </c>
      <c r="K92">
        <v>450</v>
      </c>
      <c r="L92">
        <f>IF(K92="","",K92*Parameters!$B$2)</f>
        <v>144000</v>
      </c>
      <c r="M92">
        <f t="shared" si="4"/>
        <v>675090</v>
      </c>
      <c r="N92">
        <v>520</v>
      </c>
      <c r="O92">
        <f>IF(N92="","",N92*Parameters!$B$2)</f>
        <v>166400</v>
      </c>
      <c r="P92">
        <f t="shared" si="5"/>
        <v>697490</v>
      </c>
    </row>
    <row r="93" spans="1:16">
      <c r="A93" t="s">
        <v>79</v>
      </c>
      <c r="B93" t="s">
        <v>170</v>
      </c>
      <c r="C93" t="s">
        <v>15</v>
      </c>
      <c r="D93" t="s">
        <v>16</v>
      </c>
      <c r="E93" t="s">
        <v>17</v>
      </c>
      <c r="F93">
        <v>2529000</v>
      </c>
      <c r="G93">
        <f>IF(F93="","",F93*Parameters!$B$1)</f>
        <v>531090</v>
      </c>
      <c r="H93">
        <v>1000</v>
      </c>
      <c r="I93">
        <f>IF(H93="","",H93*Parameters!$B$2)</f>
        <v>320000</v>
      </c>
      <c r="J93">
        <f t="shared" si="3"/>
        <v>851090</v>
      </c>
      <c r="K93">
        <v>450</v>
      </c>
      <c r="L93">
        <f>IF(K93="","",K93*Parameters!$B$2)</f>
        <v>144000</v>
      </c>
      <c r="M93">
        <f t="shared" si="4"/>
        <v>675090</v>
      </c>
      <c r="N93">
        <v>520</v>
      </c>
      <c r="O93">
        <f>IF(N93="","",N93*Parameters!$B$2)</f>
        <v>166400</v>
      </c>
      <c r="P93">
        <f t="shared" si="5"/>
        <v>697490</v>
      </c>
    </row>
    <row r="94" spans="1:16">
      <c r="A94" t="s">
        <v>79</v>
      </c>
      <c r="B94" t="s">
        <v>171</v>
      </c>
      <c r="C94" t="s">
        <v>15</v>
      </c>
      <c r="D94" t="s">
        <v>16</v>
      </c>
      <c r="E94" t="s">
        <v>17</v>
      </c>
      <c r="F94">
        <v>2529000</v>
      </c>
      <c r="G94">
        <f>IF(F94="","",F94*Parameters!$B$1)</f>
        <v>531090</v>
      </c>
      <c r="H94">
        <v>1000</v>
      </c>
      <c r="I94">
        <f>IF(H94="","",H94*Parameters!$B$2)</f>
        <v>320000</v>
      </c>
      <c r="J94">
        <f t="shared" si="3"/>
        <v>851090</v>
      </c>
      <c r="K94">
        <v>450</v>
      </c>
      <c r="L94">
        <f>IF(K94="","",K94*Parameters!$B$2)</f>
        <v>144000</v>
      </c>
      <c r="M94">
        <f t="shared" si="4"/>
        <v>675090</v>
      </c>
      <c r="N94">
        <v>520</v>
      </c>
      <c r="O94">
        <f>IF(N94="","",N94*Parameters!$B$2)</f>
        <v>166400</v>
      </c>
      <c r="P94">
        <f t="shared" si="5"/>
        <v>697490</v>
      </c>
    </row>
    <row r="95" spans="1:16">
      <c r="A95" t="s">
        <v>79</v>
      </c>
      <c r="B95" t="s">
        <v>172</v>
      </c>
      <c r="C95" t="s">
        <v>15</v>
      </c>
      <c r="D95" t="s">
        <v>16</v>
      </c>
      <c r="E95" t="s">
        <v>17</v>
      </c>
      <c r="F95">
        <v>2529000</v>
      </c>
      <c r="G95">
        <f>IF(F95="","",F95*Parameters!$B$1)</f>
        <v>531090</v>
      </c>
      <c r="H95">
        <v>1000</v>
      </c>
      <c r="I95">
        <f>IF(H95="","",H95*Parameters!$B$2)</f>
        <v>320000</v>
      </c>
      <c r="J95">
        <f t="shared" si="3"/>
        <v>851090</v>
      </c>
      <c r="K95">
        <v>450</v>
      </c>
      <c r="L95">
        <f>IF(K95="","",K95*Parameters!$B$2)</f>
        <v>144000</v>
      </c>
      <c r="M95">
        <f t="shared" si="4"/>
        <v>675090</v>
      </c>
      <c r="N95">
        <v>520</v>
      </c>
      <c r="O95">
        <f>IF(N95="","",N95*Parameters!$B$2)</f>
        <v>166400</v>
      </c>
      <c r="P95">
        <f t="shared" si="5"/>
        <v>697490</v>
      </c>
    </row>
    <row r="96" spans="1:16">
      <c r="A96" t="s">
        <v>79</v>
      </c>
      <c r="B96" t="s">
        <v>173</v>
      </c>
      <c r="C96" t="s">
        <v>15</v>
      </c>
      <c r="D96" t="s">
        <v>16</v>
      </c>
      <c r="E96" t="s">
        <v>17</v>
      </c>
      <c r="F96">
        <v>2529000</v>
      </c>
      <c r="G96">
        <f>IF(F96="","",F96*Parameters!$B$1)</f>
        <v>531090</v>
      </c>
      <c r="H96">
        <v>1000</v>
      </c>
      <c r="I96">
        <f>IF(H96="","",H96*Parameters!$B$2)</f>
        <v>320000</v>
      </c>
      <c r="J96">
        <f t="shared" si="3"/>
        <v>851090</v>
      </c>
      <c r="K96">
        <v>450</v>
      </c>
      <c r="L96">
        <f>IF(K96="","",K96*Parameters!$B$2)</f>
        <v>144000</v>
      </c>
      <c r="M96">
        <f t="shared" si="4"/>
        <v>675090</v>
      </c>
      <c r="N96">
        <v>520</v>
      </c>
      <c r="O96">
        <f>IF(N96="","",N96*Parameters!$B$2)</f>
        <v>166400</v>
      </c>
      <c r="P96">
        <f t="shared" si="5"/>
        <v>697490</v>
      </c>
    </row>
    <row r="97" spans="1:16">
      <c r="A97" t="s">
        <v>79</v>
      </c>
      <c r="B97" t="s">
        <v>174</v>
      </c>
      <c r="C97" t="s">
        <v>15</v>
      </c>
      <c r="D97" t="s">
        <v>16</v>
      </c>
      <c r="E97" t="s">
        <v>17</v>
      </c>
      <c r="F97">
        <v>2529000</v>
      </c>
      <c r="G97">
        <f>IF(F97="","",F97*Parameters!$B$1)</f>
        <v>531090</v>
      </c>
      <c r="H97">
        <v>1000</v>
      </c>
      <c r="I97">
        <f>IF(H97="","",H97*Parameters!$B$2)</f>
        <v>320000</v>
      </c>
      <c r="J97">
        <f t="shared" si="3"/>
        <v>851090</v>
      </c>
      <c r="K97">
        <v>450</v>
      </c>
      <c r="L97">
        <f>IF(K97="","",K97*Parameters!$B$2)</f>
        <v>144000</v>
      </c>
      <c r="M97">
        <f t="shared" si="4"/>
        <v>675090</v>
      </c>
      <c r="N97">
        <v>520</v>
      </c>
      <c r="O97">
        <f>IF(N97="","",N97*Parameters!$B$2)</f>
        <v>166400</v>
      </c>
      <c r="P97">
        <f t="shared" si="5"/>
        <v>697490</v>
      </c>
    </row>
    <row r="98" spans="1:16">
      <c r="A98" t="s">
        <v>79</v>
      </c>
      <c r="B98" t="s">
        <v>175</v>
      </c>
      <c r="C98" t="s">
        <v>15</v>
      </c>
      <c r="D98" t="s">
        <v>16</v>
      </c>
      <c r="E98" t="s">
        <v>17</v>
      </c>
      <c r="F98">
        <v>2529000</v>
      </c>
      <c r="G98">
        <f>IF(F98="","",F98*Parameters!$B$1)</f>
        <v>531090</v>
      </c>
      <c r="H98">
        <v>1000</v>
      </c>
      <c r="I98">
        <f>IF(H98="","",H98*Parameters!$B$2)</f>
        <v>320000</v>
      </c>
      <c r="J98">
        <f t="shared" si="3"/>
        <v>851090</v>
      </c>
      <c r="K98">
        <v>450</v>
      </c>
      <c r="L98">
        <f>IF(K98="","",K98*Parameters!$B$2)</f>
        <v>144000</v>
      </c>
      <c r="M98">
        <f t="shared" si="4"/>
        <v>675090</v>
      </c>
      <c r="N98">
        <v>520</v>
      </c>
      <c r="O98">
        <f>IF(N98="","",N98*Parameters!$B$2)</f>
        <v>166400</v>
      </c>
      <c r="P98">
        <f t="shared" si="5"/>
        <v>697490</v>
      </c>
    </row>
    <row r="99" spans="1:16">
      <c r="A99" t="s">
        <v>79</v>
      </c>
      <c r="B99" t="s">
        <v>41</v>
      </c>
      <c r="C99" t="s">
        <v>15</v>
      </c>
      <c r="D99" t="s">
        <v>16</v>
      </c>
      <c r="E99" t="s">
        <v>50</v>
      </c>
      <c r="F99">
        <v>2900000</v>
      </c>
      <c r="G99">
        <f>IF(F99="","",F99*Parameters!$B$1)</f>
        <v>609000</v>
      </c>
      <c r="H99">
        <v>1100</v>
      </c>
      <c r="I99">
        <f>IF(H99="","",H99*Parameters!$B$2)</f>
        <v>352000</v>
      </c>
      <c r="J99">
        <f t="shared" si="3"/>
        <v>961000</v>
      </c>
      <c r="K99">
        <v>1200</v>
      </c>
      <c r="L99">
        <f>IF(K99="","",K99*Parameters!$B$2)</f>
        <v>384000</v>
      </c>
      <c r="M99">
        <f t="shared" si="4"/>
        <v>993000</v>
      </c>
      <c r="N99">
        <v>500</v>
      </c>
      <c r="O99">
        <f>IF(N99="","",N99*Parameters!$B$2)</f>
        <v>160000</v>
      </c>
      <c r="P99">
        <f t="shared" si="5"/>
        <v>769000</v>
      </c>
    </row>
    <row r="100" spans="1:16">
      <c r="A100" t="s">
        <v>79</v>
      </c>
      <c r="B100" t="s">
        <v>41</v>
      </c>
      <c r="C100" t="s">
        <v>16</v>
      </c>
      <c r="D100" t="s">
        <v>16</v>
      </c>
      <c r="E100" t="s">
        <v>65</v>
      </c>
      <c r="F100">
        <v>2900000</v>
      </c>
      <c r="G100">
        <f>IF(F100="","",F100*Parameters!$B$1)</f>
        <v>609000</v>
      </c>
      <c r="H100">
        <v>1100</v>
      </c>
      <c r="I100">
        <f>IF(H100="","",H100*Parameters!$B$2)</f>
        <v>352000</v>
      </c>
      <c r="J100">
        <f t="shared" si="3"/>
        <v>961000</v>
      </c>
      <c r="K100">
        <v>1200</v>
      </c>
      <c r="L100">
        <f>IF(K100="","",K100*Parameters!$B$2)</f>
        <v>384000</v>
      </c>
      <c r="M100">
        <f t="shared" si="4"/>
        <v>993000</v>
      </c>
      <c r="N100">
        <v>500</v>
      </c>
      <c r="O100">
        <f>IF(N100="","",N100*Parameters!$B$2)</f>
        <v>160000</v>
      </c>
      <c r="P100">
        <f t="shared" si="5"/>
        <v>769000</v>
      </c>
    </row>
    <row r="101" spans="1:16">
      <c r="A101" t="s">
        <v>79</v>
      </c>
      <c r="B101" t="s">
        <v>176</v>
      </c>
      <c r="C101" t="s">
        <v>15</v>
      </c>
      <c r="D101" t="s">
        <v>16</v>
      </c>
      <c r="E101" t="s">
        <v>50</v>
      </c>
      <c r="F101">
        <v>2900000</v>
      </c>
      <c r="G101">
        <f>IF(F101="","",F101*Parameters!$B$1)</f>
        <v>609000</v>
      </c>
      <c r="H101">
        <v>1100</v>
      </c>
      <c r="I101">
        <f>IF(H101="","",H101*Parameters!$B$2)</f>
        <v>352000</v>
      </c>
      <c r="J101">
        <f t="shared" si="3"/>
        <v>961000</v>
      </c>
      <c r="K101">
        <v>1200</v>
      </c>
      <c r="L101">
        <f>IF(K101="","",K101*Parameters!$B$2)</f>
        <v>384000</v>
      </c>
      <c r="M101">
        <f t="shared" si="4"/>
        <v>993000</v>
      </c>
      <c r="N101">
        <v>500</v>
      </c>
      <c r="O101">
        <f>IF(N101="","",N101*Parameters!$B$2)</f>
        <v>160000</v>
      </c>
      <c r="P101">
        <f t="shared" si="5"/>
        <v>769000</v>
      </c>
    </row>
    <row r="102" spans="1:16">
      <c r="A102" t="s">
        <v>79</v>
      </c>
      <c r="B102" t="s">
        <v>176</v>
      </c>
      <c r="C102" t="s">
        <v>15</v>
      </c>
      <c r="D102" t="s">
        <v>16</v>
      </c>
      <c r="E102" t="s">
        <v>65</v>
      </c>
      <c r="F102">
        <v>2900000</v>
      </c>
      <c r="G102">
        <f>IF(F102="","",F102*Parameters!$B$1)</f>
        <v>609000</v>
      </c>
      <c r="H102">
        <v>1100</v>
      </c>
      <c r="I102">
        <f>IF(H102="","",H102*Parameters!$B$2)</f>
        <v>352000</v>
      </c>
      <c r="J102">
        <f t="shared" si="3"/>
        <v>961000</v>
      </c>
      <c r="K102">
        <v>1200</v>
      </c>
      <c r="L102">
        <f>IF(K102="","",K102*Parameters!$B$2)</f>
        <v>384000</v>
      </c>
      <c r="M102">
        <f t="shared" si="4"/>
        <v>993000</v>
      </c>
      <c r="N102">
        <v>500</v>
      </c>
      <c r="O102">
        <f>IF(N102="","",N102*Parameters!$B$2)</f>
        <v>160000</v>
      </c>
      <c r="P102">
        <f t="shared" si="5"/>
        <v>769000</v>
      </c>
    </row>
    <row r="103" spans="1:16">
      <c r="A103" t="s">
        <v>79</v>
      </c>
      <c r="B103" t="s">
        <v>177</v>
      </c>
      <c r="C103" t="s">
        <v>15</v>
      </c>
      <c r="D103" t="s">
        <v>16</v>
      </c>
      <c r="E103" t="s">
        <v>50</v>
      </c>
      <c r="F103">
        <v>2900000</v>
      </c>
      <c r="G103">
        <f>IF(F103="","",F103*Parameters!$B$1)</f>
        <v>609000</v>
      </c>
      <c r="H103">
        <v>1100</v>
      </c>
      <c r="I103">
        <f>IF(H103="","",H103*Parameters!$B$2)</f>
        <v>352000</v>
      </c>
      <c r="J103">
        <f t="shared" si="3"/>
        <v>961000</v>
      </c>
      <c r="K103">
        <v>1200</v>
      </c>
      <c r="L103">
        <f>IF(K103="","",K103*Parameters!$B$2)</f>
        <v>384000</v>
      </c>
      <c r="M103">
        <f t="shared" si="4"/>
        <v>993000</v>
      </c>
      <c r="N103">
        <v>500</v>
      </c>
      <c r="O103">
        <f>IF(N103="","",N103*Parameters!$B$2)</f>
        <v>160000</v>
      </c>
      <c r="P103">
        <f t="shared" si="5"/>
        <v>769000</v>
      </c>
    </row>
    <row r="104" spans="1:16">
      <c r="A104" t="s">
        <v>79</v>
      </c>
      <c r="B104" t="s">
        <v>177</v>
      </c>
      <c r="C104" t="s">
        <v>15</v>
      </c>
      <c r="D104" t="s">
        <v>16</v>
      </c>
      <c r="E104" t="s">
        <v>65</v>
      </c>
      <c r="F104">
        <v>2900000</v>
      </c>
      <c r="G104">
        <f>IF(F104="","",F104*Parameters!$B$1)</f>
        <v>609000</v>
      </c>
      <c r="H104">
        <v>1100</v>
      </c>
      <c r="I104">
        <f>IF(H104="","",H104*Parameters!$B$2)</f>
        <v>352000</v>
      </c>
      <c r="J104">
        <f t="shared" si="3"/>
        <v>961000</v>
      </c>
      <c r="K104">
        <v>1200</v>
      </c>
      <c r="L104">
        <f>IF(K104="","",K104*Parameters!$B$2)</f>
        <v>384000</v>
      </c>
      <c r="M104">
        <f t="shared" si="4"/>
        <v>993000</v>
      </c>
      <c r="N104">
        <v>500</v>
      </c>
      <c r="O104">
        <f>IF(N104="","",N104*Parameters!$B$2)</f>
        <v>160000</v>
      </c>
      <c r="P104">
        <f t="shared" si="5"/>
        <v>769000</v>
      </c>
    </row>
    <row r="105" spans="1:16">
      <c r="A105" t="s">
        <v>79</v>
      </c>
      <c r="B105" t="s">
        <v>178</v>
      </c>
      <c r="C105" t="s">
        <v>15</v>
      </c>
      <c r="D105" t="s">
        <v>16</v>
      </c>
      <c r="E105" t="s">
        <v>50</v>
      </c>
      <c r="F105">
        <v>2900000</v>
      </c>
      <c r="G105">
        <f>IF(F105="","",F105*Parameters!$B$1)</f>
        <v>609000</v>
      </c>
      <c r="H105">
        <v>1100</v>
      </c>
      <c r="I105">
        <f>IF(H105="","",H105*Parameters!$B$2)</f>
        <v>352000</v>
      </c>
      <c r="J105">
        <f t="shared" si="3"/>
        <v>961000</v>
      </c>
      <c r="K105">
        <v>1200</v>
      </c>
      <c r="L105">
        <f>IF(K105="","",K105*Parameters!$B$2)</f>
        <v>384000</v>
      </c>
      <c r="M105">
        <f t="shared" si="4"/>
        <v>993000</v>
      </c>
      <c r="N105">
        <v>500</v>
      </c>
      <c r="O105">
        <f>IF(N105="","",N105*Parameters!$B$2)</f>
        <v>160000</v>
      </c>
      <c r="P105">
        <f t="shared" si="5"/>
        <v>769000</v>
      </c>
    </row>
    <row r="106" spans="1:16">
      <c r="A106" t="s">
        <v>79</v>
      </c>
      <c r="B106" t="s">
        <v>178</v>
      </c>
      <c r="C106" t="s">
        <v>15</v>
      </c>
      <c r="D106" t="s">
        <v>16</v>
      </c>
      <c r="E106" t="s">
        <v>65</v>
      </c>
      <c r="F106">
        <v>2900000</v>
      </c>
      <c r="G106">
        <f>IF(F106="","",F106*Parameters!$B$1)</f>
        <v>609000</v>
      </c>
      <c r="H106">
        <v>1100</v>
      </c>
      <c r="I106">
        <f>IF(H106="","",H106*Parameters!$B$2)</f>
        <v>352000</v>
      </c>
      <c r="J106">
        <f t="shared" si="3"/>
        <v>961000</v>
      </c>
      <c r="K106">
        <v>1200</v>
      </c>
      <c r="L106">
        <f>IF(K106="","",K106*Parameters!$B$2)</f>
        <v>384000</v>
      </c>
      <c r="M106">
        <f t="shared" si="4"/>
        <v>993000</v>
      </c>
      <c r="N106">
        <v>500</v>
      </c>
      <c r="O106">
        <f>IF(N106="","",N106*Parameters!$B$2)</f>
        <v>160000</v>
      </c>
      <c r="P106">
        <f t="shared" si="5"/>
        <v>769000</v>
      </c>
    </row>
    <row r="107" spans="1:16">
      <c r="A107" t="s">
        <v>79</v>
      </c>
      <c r="B107" t="s">
        <v>179</v>
      </c>
      <c r="C107" t="s">
        <v>15</v>
      </c>
      <c r="D107" t="s">
        <v>16</v>
      </c>
      <c r="E107" t="s">
        <v>50</v>
      </c>
      <c r="F107">
        <v>2900000</v>
      </c>
      <c r="G107">
        <f>IF(F107="","",F107*Parameters!$B$1)</f>
        <v>609000</v>
      </c>
      <c r="H107">
        <v>1100</v>
      </c>
      <c r="I107">
        <f>IF(H107="","",H107*Parameters!$B$2)</f>
        <v>352000</v>
      </c>
      <c r="J107">
        <f t="shared" si="3"/>
        <v>961000</v>
      </c>
      <c r="K107">
        <v>1200</v>
      </c>
      <c r="L107">
        <f>IF(K107="","",K107*Parameters!$B$2)</f>
        <v>384000</v>
      </c>
      <c r="M107">
        <f t="shared" si="4"/>
        <v>993000</v>
      </c>
      <c r="N107">
        <v>500</v>
      </c>
      <c r="O107">
        <f>IF(N107="","",N107*Parameters!$B$2)</f>
        <v>160000</v>
      </c>
      <c r="P107">
        <f t="shared" si="5"/>
        <v>769000</v>
      </c>
    </row>
    <row r="108" spans="1:16">
      <c r="A108" t="s">
        <v>79</v>
      </c>
      <c r="B108" t="s">
        <v>180</v>
      </c>
      <c r="C108" t="s">
        <v>15</v>
      </c>
      <c r="D108" t="s">
        <v>16</v>
      </c>
      <c r="E108" t="s">
        <v>50</v>
      </c>
      <c r="F108">
        <v>2900000</v>
      </c>
      <c r="G108">
        <f>IF(F108="","",F108*Parameters!$B$1)</f>
        <v>609000</v>
      </c>
      <c r="H108">
        <v>1100</v>
      </c>
      <c r="I108">
        <f>IF(H108="","",H108*Parameters!$B$2)</f>
        <v>352000</v>
      </c>
      <c r="J108">
        <f t="shared" si="3"/>
        <v>961000</v>
      </c>
      <c r="K108">
        <v>1200</v>
      </c>
      <c r="L108">
        <f>IF(K108="","",K108*Parameters!$B$2)</f>
        <v>384000</v>
      </c>
      <c r="M108">
        <f t="shared" si="4"/>
        <v>993000</v>
      </c>
      <c r="N108">
        <v>500</v>
      </c>
      <c r="O108">
        <f>IF(N108="","",N108*Parameters!$B$2)</f>
        <v>160000</v>
      </c>
      <c r="P108">
        <f t="shared" si="5"/>
        <v>769000</v>
      </c>
    </row>
    <row r="109" spans="1:16">
      <c r="A109" t="s">
        <v>79</v>
      </c>
      <c r="B109" t="s">
        <v>180</v>
      </c>
      <c r="C109" t="s">
        <v>15</v>
      </c>
      <c r="D109" t="s">
        <v>16</v>
      </c>
      <c r="E109" t="s">
        <v>65</v>
      </c>
      <c r="F109">
        <v>2900000</v>
      </c>
      <c r="G109">
        <f>IF(F109="","",F109*Parameters!$B$1)</f>
        <v>609000</v>
      </c>
      <c r="H109">
        <v>1100</v>
      </c>
      <c r="I109">
        <f>IF(H109="","",H109*Parameters!$B$2)</f>
        <v>352000</v>
      </c>
      <c r="J109">
        <f t="shared" si="3"/>
        <v>961000</v>
      </c>
      <c r="K109">
        <v>1200</v>
      </c>
      <c r="L109">
        <f>IF(K109="","",K109*Parameters!$B$2)</f>
        <v>384000</v>
      </c>
      <c r="M109">
        <f t="shared" si="4"/>
        <v>993000</v>
      </c>
      <c r="N109">
        <v>500</v>
      </c>
      <c r="O109">
        <f>IF(N109="","",N109*Parameters!$B$2)</f>
        <v>160000</v>
      </c>
      <c r="P109">
        <f t="shared" si="5"/>
        <v>769000</v>
      </c>
    </row>
    <row r="110" spans="1:16">
      <c r="A110" t="s">
        <v>79</v>
      </c>
      <c r="B110" t="s">
        <v>181</v>
      </c>
      <c r="C110" t="s">
        <v>16</v>
      </c>
      <c r="D110" t="s">
        <v>15</v>
      </c>
      <c r="E110" t="s">
        <v>50</v>
      </c>
      <c r="F110">
        <v>2900000</v>
      </c>
      <c r="G110">
        <f>IF(F110="","",F110*Parameters!$B$1)</f>
        <v>609000</v>
      </c>
      <c r="H110">
        <v>1100</v>
      </c>
      <c r="I110">
        <f>IF(H110="","",H110*Parameters!$B$2)</f>
        <v>352000</v>
      </c>
      <c r="J110">
        <f t="shared" si="3"/>
        <v>961000</v>
      </c>
      <c r="K110">
        <v>1200</v>
      </c>
      <c r="L110">
        <f>IF(K110="","",K110*Parameters!$B$2)</f>
        <v>384000</v>
      </c>
      <c r="M110">
        <f t="shared" si="4"/>
        <v>993000</v>
      </c>
      <c r="N110">
        <v>500</v>
      </c>
      <c r="O110">
        <f>IF(N110="","",N110*Parameters!$B$2)</f>
        <v>160000</v>
      </c>
      <c r="P110">
        <f t="shared" si="5"/>
        <v>769000</v>
      </c>
    </row>
    <row r="111" spans="1:16">
      <c r="A111" t="s">
        <v>79</v>
      </c>
      <c r="B111" t="s">
        <v>182</v>
      </c>
      <c r="C111" t="s">
        <v>15</v>
      </c>
      <c r="D111" t="s">
        <v>16</v>
      </c>
      <c r="E111" t="s">
        <v>50</v>
      </c>
      <c r="F111">
        <v>2900000</v>
      </c>
      <c r="G111">
        <f>IF(F111="","",F111*Parameters!$B$1)</f>
        <v>609000</v>
      </c>
      <c r="H111">
        <v>1100</v>
      </c>
      <c r="I111">
        <f>IF(H111="","",H111*Parameters!$B$2)</f>
        <v>352000</v>
      </c>
      <c r="J111">
        <f t="shared" si="3"/>
        <v>961000</v>
      </c>
      <c r="K111">
        <v>1200</v>
      </c>
      <c r="L111">
        <f>IF(K111="","",K111*Parameters!$B$2)</f>
        <v>384000</v>
      </c>
      <c r="M111">
        <f t="shared" si="4"/>
        <v>993000</v>
      </c>
      <c r="N111">
        <v>500</v>
      </c>
      <c r="O111">
        <f>IF(N111="","",N111*Parameters!$B$2)</f>
        <v>160000</v>
      </c>
      <c r="P111">
        <f t="shared" si="5"/>
        <v>769000</v>
      </c>
    </row>
    <row r="112" spans="1:16">
      <c r="A112" t="s">
        <v>79</v>
      </c>
      <c r="B112" t="s">
        <v>182</v>
      </c>
      <c r="C112" t="s">
        <v>15</v>
      </c>
      <c r="D112" t="s">
        <v>16</v>
      </c>
      <c r="E112" t="s">
        <v>65</v>
      </c>
      <c r="F112">
        <v>2900000</v>
      </c>
      <c r="G112">
        <f>IF(F112="","",F112*Parameters!$B$1)</f>
        <v>609000</v>
      </c>
      <c r="H112">
        <v>1100</v>
      </c>
      <c r="I112">
        <f>IF(H112="","",H112*Parameters!$B$2)</f>
        <v>352000</v>
      </c>
      <c r="J112">
        <f t="shared" si="3"/>
        <v>961000</v>
      </c>
      <c r="K112">
        <v>1200</v>
      </c>
      <c r="L112">
        <f>IF(K112="","",K112*Parameters!$B$2)</f>
        <v>384000</v>
      </c>
      <c r="M112">
        <f t="shared" si="4"/>
        <v>993000</v>
      </c>
      <c r="N112">
        <v>500</v>
      </c>
      <c r="O112">
        <f>IF(N112="","",N112*Parameters!$B$2)</f>
        <v>160000</v>
      </c>
      <c r="P112">
        <f t="shared" si="5"/>
        <v>769000</v>
      </c>
    </row>
    <row r="113" spans="1:16">
      <c r="A113" t="s">
        <v>79</v>
      </c>
      <c r="B113" t="s">
        <v>183</v>
      </c>
      <c r="C113" t="s">
        <v>15</v>
      </c>
      <c r="D113" t="s">
        <v>16</v>
      </c>
      <c r="E113" t="s">
        <v>50</v>
      </c>
      <c r="F113">
        <v>2900000</v>
      </c>
      <c r="G113">
        <f>IF(F113="","",F113*Parameters!$B$1)</f>
        <v>609000</v>
      </c>
      <c r="H113">
        <v>1100</v>
      </c>
      <c r="I113">
        <f>IF(H113="","",H113*Parameters!$B$2)</f>
        <v>352000</v>
      </c>
      <c r="J113">
        <f t="shared" si="3"/>
        <v>961000</v>
      </c>
      <c r="K113">
        <v>1200</v>
      </c>
      <c r="L113">
        <f>IF(K113="","",K113*Parameters!$B$2)</f>
        <v>384000</v>
      </c>
      <c r="M113">
        <f t="shared" si="4"/>
        <v>993000</v>
      </c>
      <c r="N113">
        <v>500</v>
      </c>
      <c r="O113">
        <f>IF(N113="","",N113*Parameters!$B$2)</f>
        <v>160000</v>
      </c>
      <c r="P113">
        <f t="shared" si="5"/>
        <v>769000</v>
      </c>
    </row>
    <row r="114" spans="1:16">
      <c r="A114" t="s">
        <v>79</v>
      </c>
      <c r="B114" t="s">
        <v>183</v>
      </c>
      <c r="C114" t="s">
        <v>15</v>
      </c>
      <c r="D114" t="s">
        <v>16</v>
      </c>
      <c r="E114" t="s">
        <v>65</v>
      </c>
      <c r="F114">
        <v>2900000</v>
      </c>
      <c r="G114">
        <f>IF(F114="","",F114*Parameters!$B$1)</f>
        <v>609000</v>
      </c>
      <c r="H114">
        <v>1100</v>
      </c>
      <c r="I114">
        <f>IF(H114="","",H114*Parameters!$B$2)</f>
        <v>352000</v>
      </c>
      <c r="J114">
        <f t="shared" si="3"/>
        <v>961000</v>
      </c>
      <c r="K114">
        <v>1200</v>
      </c>
      <c r="L114">
        <f>IF(K114="","",K114*Parameters!$B$2)</f>
        <v>384000</v>
      </c>
      <c r="M114">
        <f t="shared" si="4"/>
        <v>993000</v>
      </c>
      <c r="N114">
        <v>500</v>
      </c>
      <c r="O114">
        <f>IF(N114="","",N114*Parameters!$B$2)</f>
        <v>160000</v>
      </c>
      <c r="P114">
        <f t="shared" si="5"/>
        <v>769000</v>
      </c>
    </row>
    <row r="115" spans="1:16">
      <c r="A115" t="s">
        <v>79</v>
      </c>
      <c r="B115" t="s">
        <v>183</v>
      </c>
      <c r="C115" t="s">
        <v>15</v>
      </c>
      <c r="D115" t="s">
        <v>16</v>
      </c>
      <c r="E115" t="s">
        <v>184</v>
      </c>
      <c r="F115">
        <v>2900000</v>
      </c>
      <c r="G115">
        <f>IF(F115="","",F115*Parameters!$B$1)</f>
        <v>609000</v>
      </c>
      <c r="H115">
        <v>1100</v>
      </c>
      <c r="I115">
        <f>IF(H115="","",H115*Parameters!$B$2)</f>
        <v>352000</v>
      </c>
      <c r="J115">
        <f t="shared" si="3"/>
        <v>961000</v>
      </c>
      <c r="K115">
        <v>1200</v>
      </c>
      <c r="L115">
        <f>IF(K115="","",K115*Parameters!$B$2)</f>
        <v>384000</v>
      </c>
      <c r="M115">
        <f t="shared" si="4"/>
        <v>993000</v>
      </c>
      <c r="N115">
        <v>500</v>
      </c>
      <c r="O115">
        <f>IF(N115="","",N115*Parameters!$B$2)</f>
        <v>160000</v>
      </c>
      <c r="P115">
        <f t="shared" si="5"/>
        <v>769000</v>
      </c>
    </row>
    <row r="116" spans="1:16">
      <c r="A116" t="s">
        <v>79</v>
      </c>
      <c r="B116" t="s">
        <v>185</v>
      </c>
      <c r="C116" t="s">
        <v>15</v>
      </c>
      <c r="D116" t="s">
        <v>16</v>
      </c>
      <c r="E116" t="s">
        <v>50</v>
      </c>
      <c r="F116">
        <v>2900000</v>
      </c>
      <c r="G116">
        <f>IF(F116="","",F116*Parameters!$B$1)</f>
        <v>609000</v>
      </c>
      <c r="H116">
        <v>1100</v>
      </c>
      <c r="I116">
        <f>IF(H116="","",H116*Parameters!$B$2)</f>
        <v>352000</v>
      </c>
      <c r="J116">
        <f t="shared" si="3"/>
        <v>961000</v>
      </c>
      <c r="K116">
        <v>1200</v>
      </c>
      <c r="L116">
        <f>IF(K116="","",K116*Parameters!$B$2)</f>
        <v>384000</v>
      </c>
      <c r="M116">
        <f t="shared" si="4"/>
        <v>993000</v>
      </c>
      <c r="N116">
        <v>500</v>
      </c>
      <c r="O116">
        <f>IF(N116="","",N116*Parameters!$B$2)</f>
        <v>160000</v>
      </c>
      <c r="P116">
        <f t="shared" si="5"/>
        <v>769000</v>
      </c>
    </row>
    <row r="117" spans="1:16">
      <c r="A117" t="s">
        <v>79</v>
      </c>
      <c r="B117" t="s">
        <v>185</v>
      </c>
      <c r="C117" t="s">
        <v>15</v>
      </c>
      <c r="D117" t="s">
        <v>16</v>
      </c>
      <c r="E117" t="s">
        <v>65</v>
      </c>
      <c r="F117">
        <v>2900000</v>
      </c>
      <c r="G117">
        <f>IF(F117="","",F117*Parameters!$B$1)</f>
        <v>609000</v>
      </c>
      <c r="H117">
        <v>1100</v>
      </c>
      <c r="I117">
        <f>IF(H117="","",H117*Parameters!$B$2)</f>
        <v>352000</v>
      </c>
      <c r="J117">
        <f t="shared" si="3"/>
        <v>961000</v>
      </c>
      <c r="K117">
        <v>1200</v>
      </c>
      <c r="L117">
        <f>IF(K117="","",K117*Parameters!$B$2)</f>
        <v>384000</v>
      </c>
      <c r="M117">
        <f t="shared" si="4"/>
        <v>993000</v>
      </c>
      <c r="N117">
        <v>500</v>
      </c>
      <c r="O117">
        <f>IF(N117="","",N117*Parameters!$B$2)</f>
        <v>160000</v>
      </c>
      <c r="P117">
        <f t="shared" si="5"/>
        <v>769000</v>
      </c>
    </row>
    <row r="118" spans="1:16">
      <c r="A118" t="s">
        <v>79</v>
      </c>
      <c r="B118" t="s">
        <v>185</v>
      </c>
      <c r="C118" t="s">
        <v>15</v>
      </c>
      <c r="D118" t="s">
        <v>16</v>
      </c>
      <c r="E118" t="s">
        <v>184</v>
      </c>
      <c r="F118">
        <v>2900000</v>
      </c>
      <c r="G118">
        <f>IF(F118="","",F118*Parameters!$B$1)</f>
        <v>609000</v>
      </c>
      <c r="H118">
        <v>1100</v>
      </c>
      <c r="I118">
        <f>IF(H118="","",H118*Parameters!$B$2)</f>
        <v>352000</v>
      </c>
      <c r="J118">
        <f t="shared" si="3"/>
        <v>961000</v>
      </c>
      <c r="K118">
        <v>1200</v>
      </c>
      <c r="L118">
        <f>IF(K118="","",K118*Parameters!$B$2)</f>
        <v>384000</v>
      </c>
      <c r="M118">
        <f t="shared" si="4"/>
        <v>993000</v>
      </c>
      <c r="N118">
        <v>500</v>
      </c>
      <c r="O118">
        <f>IF(N118="","",N118*Parameters!$B$2)</f>
        <v>160000</v>
      </c>
      <c r="P118">
        <f t="shared" si="5"/>
        <v>769000</v>
      </c>
    </row>
    <row r="119" spans="1:16">
      <c r="A119" t="s">
        <v>79</v>
      </c>
      <c r="B119" t="s">
        <v>186</v>
      </c>
      <c r="C119" t="s">
        <v>15</v>
      </c>
      <c r="D119" t="s">
        <v>16</v>
      </c>
      <c r="E119" t="s">
        <v>50</v>
      </c>
      <c r="F119">
        <v>2900000</v>
      </c>
      <c r="G119">
        <f>IF(F119="","",F119*Parameters!$B$1)</f>
        <v>609000</v>
      </c>
      <c r="H119">
        <v>1100</v>
      </c>
      <c r="I119">
        <f>IF(H119="","",H119*Parameters!$B$2)</f>
        <v>352000</v>
      </c>
      <c r="J119">
        <f t="shared" si="3"/>
        <v>961000</v>
      </c>
      <c r="K119">
        <v>1200</v>
      </c>
      <c r="L119">
        <f>IF(K119="","",K119*Parameters!$B$2)</f>
        <v>384000</v>
      </c>
      <c r="M119">
        <f t="shared" si="4"/>
        <v>993000</v>
      </c>
      <c r="N119">
        <v>500</v>
      </c>
      <c r="O119">
        <f>IF(N119="","",N119*Parameters!$B$2)</f>
        <v>160000</v>
      </c>
      <c r="P119">
        <f t="shared" si="5"/>
        <v>769000</v>
      </c>
    </row>
    <row r="120" spans="1:16">
      <c r="A120" t="s">
        <v>79</v>
      </c>
      <c r="B120" t="s">
        <v>186</v>
      </c>
      <c r="C120" t="s">
        <v>15</v>
      </c>
      <c r="D120" t="s">
        <v>16</v>
      </c>
      <c r="E120" t="s">
        <v>65</v>
      </c>
      <c r="F120">
        <v>2900000</v>
      </c>
      <c r="G120">
        <f>IF(F120="","",F120*Parameters!$B$1)</f>
        <v>609000</v>
      </c>
      <c r="H120">
        <v>1100</v>
      </c>
      <c r="I120">
        <f>IF(H120="","",H120*Parameters!$B$2)</f>
        <v>352000</v>
      </c>
      <c r="J120">
        <f t="shared" si="3"/>
        <v>961000</v>
      </c>
      <c r="K120">
        <v>1200</v>
      </c>
      <c r="L120">
        <f>IF(K120="","",K120*Parameters!$B$2)</f>
        <v>384000</v>
      </c>
      <c r="M120">
        <f t="shared" si="4"/>
        <v>993000</v>
      </c>
      <c r="N120">
        <v>500</v>
      </c>
      <c r="O120">
        <f>IF(N120="","",N120*Parameters!$B$2)</f>
        <v>160000</v>
      </c>
      <c r="P120">
        <f t="shared" si="5"/>
        <v>769000</v>
      </c>
    </row>
    <row r="121" spans="1:16">
      <c r="A121" t="s">
        <v>79</v>
      </c>
      <c r="B121" t="s">
        <v>186</v>
      </c>
      <c r="C121" t="s">
        <v>15</v>
      </c>
      <c r="D121" t="s">
        <v>16</v>
      </c>
      <c r="E121" t="s">
        <v>184</v>
      </c>
      <c r="F121">
        <v>2900000</v>
      </c>
      <c r="G121">
        <f>IF(F121="","",F121*Parameters!$B$1)</f>
        <v>609000</v>
      </c>
      <c r="H121">
        <v>1100</v>
      </c>
      <c r="I121">
        <f>IF(H121="","",H121*Parameters!$B$2)</f>
        <v>352000</v>
      </c>
      <c r="J121">
        <f t="shared" si="3"/>
        <v>961000</v>
      </c>
      <c r="K121">
        <v>1200</v>
      </c>
      <c r="L121">
        <f>IF(K121="","",K121*Parameters!$B$2)</f>
        <v>384000</v>
      </c>
      <c r="M121">
        <f t="shared" si="4"/>
        <v>993000</v>
      </c>
      <c r="N121">
        <v>500</v>
      </c>
      <c r="O121">
        <f>IF(N121="","",N121*Parameters!$B$2)</f>
        <v>160000</v>
      </c>
      <c r="P121">
        <f t="shared" si="5"/>
        <v>769000</v>
      </c>
    </row>
    <row r="122" spans="1:16">
      <c r="A122" t="s">
        <v>79</v>
      </c>
      <c r="B122" t="s">
        <v>187</v>
      </c>
      <c r="C122" t="s">
        <v>15</v>
      </c>
      <c r="D122" t="s">
        <v>16</v>
      </c>
      <c r="E122" t="s">
        <v>50</v>
      </c>
      <c r="F122">
        <v>2900000</v>
      </c>
      <c r="G122">
        <f>IF(F122="","",F122*Parameters!$B$1)</f>
        <v>609000</v>
      </c>
      <c r="H122">
        <v>1100</v>
      </c>
      <c r="I122">
        <f>IF(H122="","",H122*Parameters!$B$2)</f>
        <v>352000</v>
      </c>
      <c r="J122">
        <f t="shared" si="3"/>
        <v>961000</v>
      </c>
      <c r="K122">
        <v>1200</v>
      </c>
      <c r="L122">
        <f>IF(K122="","",K122*Parameters!$B$2)</f>
        <v>384000</v>
      </c>
      <c r="M122">
        <f t="shared" si="4"/>
        <v>993000</v>
      </c>
      <c r="N122">
        <v>500</v>
      </c>
      <c r="O122">
        <f>IF(N122="","",N122*Parameters!$B$2)</f>
        <v>160000</v>
      </c>
      <c r="P122">
        <f t="shared" si="5"/>
        <v>769000</v>
      </c>
    </row>
    <row r="123" spans="1:16">
      <c r="A123" t="s">
        <v>79</v>
      </c>
      <c r="B123" t="s">
        <v>187</v>
      </c>
      <c r="C123" t="s">
        <v>15</v>
      </c>
      <c r="D123" t="s">
        <v>16</v>
      </c>
      <c r="E123" t="s">
        <v>65</v>
      </c>
      <c r="F123">
        <v>2900000</v>
      </c>
      <c r="G123">
        <f>IF(F123="","",F123*Parameters!$B$1)</f>
        <v>609000</v>
      </c>
      <c r="H123">
        <v>1100</v>
      </c>
      <c r="I123">
        <f>IF(H123="","",H123*Parameters!$B$2)</f>
        <v>352000</v>
      </c>
      <c r="J123">
        <f t="shared" si="3"/>
        <v>961000</v>
      </c>
      <c r="K123">
        <v>1200</v>
      </c>
      <c r="L123">
        <f>IF(K123="","",K123*Parameters!$B$2)</f>
        <v>384000</v>
      </c>
      <c r="M123">
        <f t="shared" si="4"/>
        <v>993000</v>
      </c>
      <c r="N123">
        <v>500</v>
      </c>
      <c r="O123">
        <f>IF(N123="","",N123*Parameters!$B$2)</f>
        <v>160000</v>
      </c>
      <c r="P123">
        <f t="shared" si="5"/>
        <v>769000</v>
      </c>
    </row>
    <row r="124" spans="1:16">
      <c r="A124" t="s">
        <v>79</v>
      </c>
      <c r="B124" t="s">
        <v>156</v>
      </c>
      <c r="C124" t="s">
        <v>15</v>
      </c>
      <c r="D124" t="s">
        <v>16</v>
      </c>
      <c r="E124" t="s">
        <v>50</v>
      </c>
      <c r="F124">
        <v>2900000</v>
      </c>
      <c r="G124">
        <f>IF(F124="","",F124*Parameters!$B$1)</f>
        <v>609000</v>
      </c>
      <c r="H124">
        <v>1100</v>
      </c>
      <c r="I124">
        <f>IF(H124="","",H124*Parameters!$B$2)</f>
        <v>352000</v>
      </c>
      <c r="J124">
        <f t="shared" si="3"/>
        <v>961000</v>
      </c>
      <c r="K124">
        <v>1200</v>
      </c>
      <c r="L124">
        <f>IF(K124="","",K124*Parameters!$B$2)</f>
        <v>384000</v>
      </c>
      <c r="M124">
        <f t="shared" si="4"/>
        <v>993000</v>
      </c>
      <c r="N124">
        <v>500</v>
      </c>
      <c r="O124">
        <f>IF(N124="","",N124*Parameters!$B$2)</f>
        <v>160000</v>
      </c>
      <c r="P124">
        <f t="shared" si="5"/>
        <v>769000</v>
      </c>
    </row>
    <row r="125" spans="1:16">
      <c r="A125" t="s">
        <v>79</v>
      </c>
      <c r="B125" t="s">
        <v>156</v>
      </c>
      <c r="C125" t="s">
        <v>15</v>
      </c>
      <c r="D125" t="s">
        <v>16</v>
      </c>
      <c r="E125" t="s">
        <v>65</v>
      </c>
      <c r="F125">
        <v>2900000</v>
      </c>
      <c r="G125">
        <f>IF(F125="","",F125*Parameters!$B$1)</f>
        <v>609000</v>
      </c>
      <c r="H125">
        <v>1100</v>
      </c>
      <c r="I125">
        <f>IF(H125="","",H125*Parameters!$B$2)</f>
        <v>352000</v>
      </c>
      <c r="J125">
        <f t="shared" si="3"/>
        <v>961000</v>
      </c>
      <c r="K125">
        <v>1200</v>
      </c>
      <c r="L125">
        <f>IF(K125="","",K125*Parameters!$B$2)</f>
        <v>384000</v>
      </c>
      <c r="M125">
        <f t="shared" si="4"/>
        <v>993000</v>
      </c>
      <c r="N125">
        <v>500</v>
      </c>
      <c r="O125">
        <f>IF(N125="","",N125*Parameters!$B$2)</f>
        <v>160000</v>
      </c>
      <c r="P125">
        <f t="shared" si="5"/>
        <v>769000</v>
      </c>
    </row>
    <row r="126" spans="1:16">
      <c r="A126" t="s">
        <v>79</v>
      </c>
      <c r="B126" t="s">
        <v>188</v>
      </c>
      <c r="C126" t="s">
        <v>15</v>
      </c>
      <c r="D126" t="s">
        <v>16</v>
      </c>
      <c r="E126" t="s">
        <v>50</v>
      </c>
      <c r="F126">
        <v>2900000</v>
      </c>
      <c r="G126">
        <f>IF(F126="","",F126*Parameters!$B$1)</f>
        <v>609000</v>
      </c>
      <c r="H126">
        <v>1100</v>
      </c>
      <c r="I126">
        <f>IF(H126="","",H126*Parameters!$B$2)</f>
        <v>352000</v>
      </c>
      <c r="J126">
        <f t="shared" si="3"/>
        <v>961000</v>
      </c>
      <c r="K126">
        <v>1200</v>
      </c>
      <c r="L126">
        <f>IF(K126="","",K126*Parameters!$B$2)</f>
        <v>384000</v>
      </c>
      <c r="M126">
        <f t="shared" si="4"/>
        <v>993000</v>
      </c>
      <c r="N126">
        <v>500</v>
      </c>
      <c r="O126">
        <f>IF(N126="","",N126*Parameters!$B$2)</f>
        <v>160000</v>
      </c>
      <c r="P126">
        <f t="shared" si="5"/>
        <v>769000</v>
      </c>
    </row>
    <row r="127" spans="1:16">
      <c r="A127" t="s">
        <v>79</v>
      </c>
      <c r="B127" t="s">
        <v>188</v>
      </c>
      <c r="C127" t="s">
        <v>15</v>
      </c>
      <c r="D127" t="s">
        <v>16</v>
      </c>
      <c r="E127" t="s">
        <v>65</v>
      </c>
      <c r="F127">
        <v>2900000</v>
      </c>
      <c r="G127">
        <f>IF(F127="","",F127*Parameters!$B$1)</f>
        <v>609000</v>
      </c>
      <c r="H127">
        <v>1100</v>
      </c>
      <c r="I127">
        <f>IF(H127="","",H127*Parameters!$B$2)</f>
        <v>352000</v>
      </c>
      <c r="J127">
        <f t="shared" si="3"/>
        <v>961000</v>
      </c>
      <c r="K127">
        <v>1200</v>
      </c>
      <c r="L127">
        <f>IF(K127="","",K127*Parameters!$B$2)</f>
        <v>384000</v>
      </c>
      <c r="M127">
        <f t="shared" si="4"/>
        <v>993000</v>
      </c>
      <c r="N127">
        <v>500</v>
      </c>
      <c r="O127">
        <f>IF(N127="","",N127*Parameters!$B$2)</f>
        <v>160000</v>
      </c>
      <c r="P127">
        <f t="shared" si="5"/>
        <v>769000</v>
      </c>
    </row>
    <row r="128" spans="1:16">
      <c r="A128" t="s">
        <v>79</v>
      </c>
      <c r="B128" t="s">
        <v>189</v>
      </c>
      <c r="C128" t="s">
        <v>16</v>
      </c>
      <c r="D128" t="s">
        <v>15</v>
      </c>
      <c r="E128" t="s">
        <v>50</v>
      </c>
      <c r="F128">
        <v>2900000</v>
      </c>
      <c r="G128">
        <f>IF(F128="","",F128*Parameters!$B$1)</f>
        <v>609000</v>
      </c>
      <c r="H128">
        <v>1100</v>
      </c>
      <c r="I128">
        <f>IF(H128="","",H128*Parameters!$B$2)</f>
        <v>352000</v>
      </c>
      <c r="J128">
        <f t="shared" si="3"/>
        <v>961000</v>
      </c>
      <c r="K128">
        <v>1200</v>
      </c>
      <c r="L128">
        <f>IF(K128="","",K128*Parameters!$B$2)</f>
        <v>384000</v>
      </c>
      <c r="M128">
        <f t="shared" si="4"/>
        <v>993000</v>
      </c>
      <c r="N128">
        <v>500</v>
      </c>
      <c r="O128">
        <f>IF(N128="","",N128*Parameters!$B$2)</f>
        <v>160000</v>
      </c>
      <c r="P128">
        <f t="shared" si="5"/>
        <v>769000</v>
      </c>
    </row>
    <row r="129" spans="1:16">
      <c r="A129" t="s">
        <v>79</v>
      </c>
      <c r="B129" t="s">
        <v>157</v>
      </c>
      <c r="C129" t="s">
        <v>15</v>
      </c>
      <c r="D129" t="s">
        <v>16</v>
      </c>
      <c r="E129" t="s">
        <v>50</v>
      </c>
      <c r="F129">
        <v>2900000</v>
      </c>
      <c r="G129">
        <f>IF(F129="","",F129*Parameters!$B$1)</f>
        <v>609000</v>
      </c>
      <c r="H129">
        <v>1100</v>
      </c>
      <c r="I129">
        <f>IF(H129="","",H129*Parameters!$B$2)</f>
        <v>352000</v>
      </c>
      <c r="J129">
        <f t="shared" si="3"/>
        <v>961000</v>
      </c>
      <c r="K129">
        <v>1200</v>
      </c>
      <c r="L129">
        <f>IF(K129="","",K129*Parameters!$B$2)</f>
        <v>384000</v>
      </c>
      <c r="M129">
        <f t="shared" si="4"/>
        <v>993000</v>
      </c>
      <c r="N129">
        <v>500</v>
      </c>
      <c r="O129">
        <f>IF(N129="","",N129*Parameters!$B$2)</f>
        <v>160000</v>
      </c>
      <c r="P129">
        <f t="shared" si="5"/>
        <v>769000</v>
      </c>
    </row>
    <row r="130" spans="1:16">
      <c r="A130" t="s">
        <v>79</v>
      </c>
      <c r="B130" t="s">
        <v>157</v>
      </c>
      <c r="C130" t="s">
        <v>15</v>
      </c>
      <c r="D130" t="s">
        <v>16</v>
      </c>
      <c r="E130" t="s">
        <v>65</v>
      </c>
      <c r="F130">
        <v>2900000</v>
      </c>
      <c r="G130">
        <f>IF(F130="","",F130*Parameters!$B$1)</f>
        <v>609000</v>
      </c>
      <c r="H130">
        <v>1100</v>
      </c>
      <c r="I130">
        <f>IF(H130="","",H130*Parameters!$B$2)</f>
        <v>352000</v>
      </c>
      <c r="J130">
        <f t="shared" ref="J130:J193" si="6">IF(OR(G130="",I130=""),"",G130+I130)</f>
        <v>961000</v>
      </c>
      <c r="K130">
        <v>1200</v>
      </c>
      <c r="L130">
        <f>IF(K130="","",K130*Parameters!$B$2)</f>
        <v>384000</v>
      </c>
      <c r="M130">
        <f t="shared" ref="M130:M193" si="7">IF(OR(G130="",L130=""),"",G130+L130)</f>
        <v>993000</v>
      </c>
      <c r="N130">
        <v>500</v>
      </c>
      <c r="O130">
        <f>IF(N130="","",N130*Parameters!$B$2)</f>
        <v>160000</v>
      </c>
      <c r="P130">
        <f t="shared" ref="P130:P193" si="8">IF(OR(G130="",O130=""),"",G130+O130)</f>
        <v>769000</v>
      </c>
    </row>
    <row r="131" spans="1:16">
      <c r="A131" t="s">
        <v>79</v>
      </c>
      <c r="B131" t="s">
        <v>33</v>
      </c>
      <c r="C131" t="s">
        <v>15</v>
      </c>
      <c r="D131" t="s">
        <v>16</v>
      </c>
      <c r="E131" t="s">
        <v>50</v>
      </c>
      <c r="F131">
        <v>2900000</v>
      </c>
      <c r="G131">
        <f>IF(F131="","",F131*Parameters!$B$1)</f>
        <v>609000</v>
      </c>
      <c r="H131">
        <v>1100</v>
      </c>
      <c r="I131">
        <f>IF(H131="","",H131*Parameters!$B$2)</f>
        <v>352000</v>
      </c>
      <c r="J131">
        <f t="shared" si="6"/>
        <v>961000</v>
      </c>
      <c r="K131">
        <v>1200</v>
      </c>
      <c r="L131">
        <f>IF(K131="","",K131*Parameters!$B$2)</f>
        <v>384000</v>
      </c>
      <c r="M131">
        <f t="shared" si="7"/>
        <v>993000</v>
      </c>
      <c r="N131">
        <v>500</v>
      </c>
      <c r="O131">
        <f>IF(N131="","",N131*Parameters!$B$2)</f>
        <v>160000</v>
      </c>
      <c r="P131">
        <f t="shared" si="8"/>
        <v>769000</v>
      </c>
    </row>
    <row r="132" spans="1:16">
      <c r="A132" t="s">
        <v>79</v>
      </c>
      <c r="B132" t="s">
        <v>33</v>
      </c>
      <c r="C132" t="s">
        <v>15</v>
      </c>
      <c r="D132" t="s">
        <v>16</v>
      </c>
      <c r="E132" t="s">
        <v>65</v>
      </c>
      <c r="F132">
        <v>2900000</v>
      </c>
      <c r="G132">
        <f>IF(F132="","",F132*Parameters!$B$1)</f>
        <v>609000</v>
      </c>
      <c r="H132">
        <v>1100</v>
      </c>
      <c r="I132">
        <f>IF(H132="","",H132*Parameters!$B$2)</f>
        <v>352000</v>
      </c>
      <c r="J132">
        <f t="shared" si="6"/>
        <v>961000</v>
      </c>
      <c r="K132">
        <v>1200</v>
      </c>
      <c r="L132">
        <f>IF(K132="","",K132*Parameters!$B$2)</f>
        <v>384000</v>
      </c>
      <c r="M132">
        <f t="shared" si="7"/>
        <v>993000</v>
      </c>
      <c r="N132">
        <v>500</v>
      </c>
      <c r="O132">
        <f>IF(N132="","",N132*Parameters!$B$2)</f>
        <v>160000</v>
      </c>
      <c r="P132">
        <f t="shared" si="8"/>
        <v>769000</v>
      </c>
    </row>
    <row r="133" spans="1:16">
      <c r="A133" t="s">
        <v>79</v>
      </c>
      <c r="B133" t="s">
        <v>190</v>
      </c>
      <c r="C133" t="s">
        <v>15</v>
      </c>
      <c r="D133" t="s">
        <v>16</v>
      </c>
      <c r="E133" t="s">
        <v>50</v>
      </c>
      <c r="F133">
        <v>2900000</v>
      </c>
      <c r="G133">
        <f>IF(F133="","",F133*Parameters!$B$1)</f>
        <v>609000</v>
      </c>
      <c r="H133">
        <v>1100</v>
      </c>
      <c r="I133">
        <f>IF(H133="","",H133*Parameters!$B$2)</f>
        <v>352000</v>
      </c>
      <c r="J133">
        <f t="shared" si="6"/>
        <v>961000</v>
      </c>
      <c r="K133">
        <v>1200</v>
      </c>
      <c r="L133">
        <f>IF(K133="","",K133*Parameters!$B$2)</f>
        <v>384000</v>
      </c>
      <c r="M133">
        <f t="shared" si="7"/>
        <v>993000</v>
      </c>
      <c r="N133">
        <v>500</v>
      </c>
      <c r="O133">
        <f>IF(N133="","",N133*Parameters!$B$2)</f>
        <v>160000</v>
      </c>
      <c r="P133">
        <f t="shared" si="8"/>
        <v>769000</v>
      </c>
    </row>
    <row r="134" spans="1:16">
      <c r="A134" t="s">
        <v>79</v>
      </c>
      <c r="B134" t="s">
        <v>190</v>
      </c>
      <c r="C134" t="s">
        <v>15</v>
      </c>
      <c r="D134" t="s">
        <v>16</v>
      </c>
      <c r="E134" t="s">
        <v>65</v>
      </c>
      <c r="F134">
        <v>2900000</v>
      </c>
      <c r="G134">
        <f>IF(F134="","",F134*Parameters!$B$1)</f>
        <v>609000</v>
      </c>
      <c r="H134">
        <v>1100</v>
      </c>
      <c r="I134">
        <f>IF(H134="","",H134*Parameters!$B$2)</f>
        <v>352000</v>
      </c>
      <c r="J134">
        <f t="shared" si="6"/>
        <v>961000</v>
      </c>
      <c r="K134">
        <v>1200</v>
      </c>
      <c r="L134">
        <f>IF(K134="","",K134*Parameters!$B$2)</f>
        <v>384000</v>
      </c>
      <c r="M134">
        <f t="shared" si="7"/>
        <v>993000</v>
      </c>
      <c r="N134">
        <v>500</v>
      </c>
      <c r="O134">
        <f>IF(N134="","",N134*Parameters!$B$2)</f>
        <v>160000</v>
      </c>
      <c r="P134">
        <f t="shared" si="8"/>
        <v>769000</v>
      </c>
    </row>
    <row r="135" spans="1:16">
      <c r="A135" t="s">
        <v>79</v>
      </c>
      <c r="B135" t="s">
        <v>190</v>
      </c>
      <c r="C135" t="s">
        <v>15</v>
      </c>
      <c r="D135" t="s">
        <v>16</v>
      </c>
      <c r="E135" t="s">
        <v>184</v>
      </c>
      <c r="F135">
        <v>2900000</v>
      </c>
      <c r="G135">
        <f>IF(F135="","",F135*Parameters!$B$1)</f>
        <v>609000</v>
      </c>
      <c r="H135">
        <v>1100</v>
      </c>
      <c r="I135">
        <f>IF(H135="","",H135*Parameters!$B$2)</f>
        <v>352000</v>
      </c>
      <c r="J135">
        <f t="shared" si="6"/>
        <v>961000</v>
      </c>
      <c r="K135">
        <v>1200</v>
      </c>
      <c r="L135">
        <f>IF(K135="","",K135*Parameters!$B$2)</f>
        <v>384000</v>
      </c>
      <c r="M135">
        <f t="shared" si="7"/>
        <v>993000</v>
      </c>
      <c r="N135">
        <v>500</v>
      </c>
      <c r="O135">
        <f>IF(N135="","",N135*Parameters!$B$2)</f>
        <v>160000</v>
      </c>
      <c r="P135">
        <f t="shared" si="8"/>
        <v>769000</v>
      </c>
    </row>
    <row r="136" spans="1:16">
      <c r="A136" t="s">
        <v>79</v>
      </c>
      <c r="B136" t="s">
        <v>191</v>
      </c>
      <c r="C136" t="s">
        <v>16</v>
      </c>
      <c r="D136" t="s">
        <v>16</v>
      </c>
      <c r="E136" t="s">
        <v>50</v>
      </c>
      <c r="F136">
        <v>2910000</v>
      </c>
      <c r="G136">
        <f>IF(F136="","",F136*Parameters!$B$1)</f>
        <v>611100</v>
      </c>
      <c r="H136">
        <v>1100</v>
      </c>
      <c r="I136">
        <f>IF(H136="","",H136*Parameters!$B$2)</f>
        <v>352000</v>
      </c>
      <c r="J136">
        <f t="shared" si="6"/>
        <v>963100</v>
      </c>
      <c r="K136">
        <v>1200</v>
      </c>
      <c r="L136">
        <f>IF(K136="","",K136*Parameters!$B$2)</f>
        <v>384000</v>
      </c>
      <c r="M136">
        <f t="shared" si="7"/>
        <v>995100</v>
      </c>
      <c r="N136">
        <v>500</v>
      </c>
      <c r="O136">
        <f>IF(N136="","",N136*Parameters!$B$2)</f>
        <v>160000</v>
      </c>
      <c r="P136">
        <f t="shared" si="8"/>
        <v>771100</v>
      </c>
    </row>
    <row r="137" spans="1:16">
      <c r="A137" t="s">
        <v>79</v>
      </c>
      <c r="B137" t="s">
        <v>191</v>
      </c>
      <c r="C137" t="s">
        <v>16</v>
      </c>
      <c r="D137" t="s">
        <v>16</v>
      </c>
      <c r="E137" t="s">
        <v>65</v>
      </c>
      <c r="F137">
        <v>2910000</v>
      </c>
      <c r="G137">
        <f>IF(F137="","",F137*Parameters!$B$1)</f>
        <v>611100</v>
      </c>
      <c r="H137">
        <v>1100</v>
      </c>
      <c r="I137">
        <f>IF(H137="","",H137*Parameters!$B$2)</f>
        <v>352000</v>
      </c>
      <c r="J137">
        <f t="shared" si="6"/>
        <v>963100</v>
      </c>
      <c r="K137">
        <v>1200</v>
      </c>
      <c r="L137">
        <f>IF(K137="","",K137*Parameters!$B$2)</f>
        <v>384000</v>
      </c>
      <c r="M137">
        <f t="shared" si="7"/>
        <v>995100</v>
      </c>
      <c r="N137">
        <v>500</v>
      </c>
      <c r="O137">
        <f>IF(N137="","",N137*Parameters!$B$2)</f>
        <v>160000</v>
      </c>
      <c r="P137">
        <f t="shared" si="8"/>
        <v>771100</v>
      </c>
    </row>
    <row r="138" spans="1:16">
      <c r="A138" t="s">
        <v>79</v>
      </c>
      <c r="B138" t="s">
        <v>191</v>
      </c>
      <c r="C138" t="s">
        <v>16</v>
      </c>
      <c r="D138" t="s">
        <v>16</v>
      </c>
      <c r="E138" t="s">
        <v>184</v>
      </c>
      <c r="F138">
        <v>2910000</v>
      </c>
      <c r="G138">
        <f>IF(F138="","",F138*Parameters!$B$1)</f>
        <v>611100</v>
      </c>
      <c r="H138">
        <v>1100</v>
      </c>
      <c r="I138">
        <f>IF(H138="","",H138*Parameters!$B$2)</f>
        <v>352000</v>
      </c>
      <c r="J138">
        <f t="shared" si="6"/>
        <v>963100</v>
      </c>
      <c r="K138">
        <v>1200</v>
      </c>
      <c r="L138">
        <f>IF(K138="","",K138*Parameters!$B$2)</f>
        <v>384000</v>
      </c>
      <c r="M138">
        <f t="shared" si="7"/>
        <v>995100</v>
      </c>
      <c r="N138">
        <v>500</v>
      </c>
      <c r="O138">
        <f>IF(N138="","",N138*Parameters!$B$2)</f>
        <v>160000</v>
      </c>
      <c r="P138">
        <f t="shared" si="8"/>
        <v>771100</v>
      </c>
    </row>
    <row r="139" spans="1:16">
      <c r="A139" t="s">
        <v>79</v>
      </c>
      <c r="B139" t="s">
        <v>192</v>
      </c>
      <c r="C139" t="s">
        <v>15</v>
      </c>
      <c r="D139" t="s">
        <v>16</v>
      </c>
      <c r="E139" t="s">
        <v>50</v>
      </c>
      <c r="F139">
        <v>2900000</v>
      </c>
      <c r="G139">
        <f>IF(F139="","",F139*Parameters!$B$1)</f>
        <v>609000</v>
      </c>
      <c r="H139">
        <v>1100</v>
      </c>
      <c r="I139">
        <f>IF(H139="","",H139*Parameters!$B$2)</f>
        <v>352000</v>
      </c>
      <c r="J139">
        <f t="shared" si="6"/>
        <v>961000</v>
      </c>
      <c r="K139">
        <v>1200</v>
      </c>
      <c r="L139">
        <f>IF(K139="","",K139*Parameters!$B$2)</f>
        <v>384000</v>
      </c>
      <c r="M139">
        <f t="shared" si="7"/>
        <v>993000</v>
      </c>
      <c r="N139">
        <v>500</v>
      </c>
      <c r="O139">
        <f>IF(N139="","",N139*Parameters!$B$2)</f>
        <v>160000</v>
      </c>
      <c r="P139">
        <f t="shared" si="8"/>
        <v>769000</v>
      </c>
    </row>
    <row r="140" spans="1:16">
      <c r="A140" t="s">
        <v>79</v>
      </c>
      <c r="B140" t="s">
        <v>193</v>
      </c>
      <c r="C140" t="s">
        <v>15</v>
      </c>
      <c r="D140" t="s">
        <v>16</v>
      </c>
      <c r="E140" t="s">
        <v>50</v>
      </c>
      <c r="F140">
        <v>2900000</v>
      </c>
      <c r="G140">
        <f>IF(F140="","",F140*Parameters!$B$1)</f>
        <v>609000</v>
      </c>
      <c r="H140">
        <v>1100</v>
      </c>
      <c r="I140">
        <f>IF(H140="","",H140*Parameters!$B$2)</f>
        <v>352000</v>
      </c>
      <c r="J140">
        <f t="shared" si="6"/>
        <v>961000</v>
      </c>
      <c r="K140">
        <v>1200</v>
      </c>
      <c r="L140">
        <f>IF(K140="","",K140*Parameters!$B$2)</f>
        <v>384000</v>
      </c>
      <c r="M140">
        <f t="shared" si="7"/>
        <v>993000</v>
      </c>
      <c r="N140">
        <v>500</v>
      </c>
      <c r="O140">
        <f>IF(N140="","",N140*Parameters!$B$2)</f>
        <v>160000</v>
      </c>
      <c r="P140">
        <f t="shared" si="8"/>
        <v>769000</v>
      </c>
    </row>
    <row r="141" spans="1:16">
      <c r="A141" t="s">
        <v>79</v>
      </c>
      <c r="B141" t="s">
        <v>193</v>
      </c>
      <c r="C141" t="s">
        <v>15</v>
      </c>
      <c r="D141" t="s">
        <v>16</v>
      </c>
      <c r="E141" t="s">
        <v>65</v>
      </c>
      <c r="F141">
        <v>2900000</v>
      </c>
      <c r="G141">
        <f>IF(F141="","",F141*Parameters!$B$1)</f>
        <v>609000</v>
      </c>
      <c r="H141">
        <v>1100</v>
      </c>
      <c r="I141">
        <f>IF(H141="","",H141*Parameters!$B$2)</f>
        <v>352000</v>
      </c>
      <c r="J141">
        <f t="shared" si="6"/>
        <v>961000</v>
      </c>
      <c r="K141">
        <v>1200</v>
      </c>
      <c r="L141">
        <f>IF(K141="","",K141*Parameters!$B$2)</f>
        <v>384000</v>
      </c>
      <c r="M141">
        <f t="shared" si="7"/>
        <v>993000</v>
      </c>
      <c r="N141">
        <v>500</v>
      </c>
      <c r="O141">
        <f>IF(N141="","",N141*Parameters!$B$2)</f>
        <v>160000</v>
      </c>
      <c r="P141">
        <f t="shared" si="8"/>
        <v>769000</v>
      </c>
    </row>
    <row r="142" spans="1:16">
      <c r="A142" t="s">
        <v>79</v>
      </c>
      <c r="B142" t="s">
        <v>194</v>
      </c>
      <c r="C142" t="s">
        <v>15</v>
      </c>
      <c r="D142" t="s">
        <v>16</v>
      </c>
      <c r="E142" t="s">
        <v>50</v>
      </c>
      <c r="F142">
        <v>2900000</v>
      </c>
      <c r="G142">
        <f>IF(F142="","",F142*Parameters!$B$1)</f>
        <v>609000</v>
      </c>
      <c r="H142">
        <v>1100</v>
      </c>
      <c r="I142">
        <f>IF(H142="","",H142*Parameters!$B$2)</f>
        <v>352000</v>
      </c>
      <c r="J142">
        <f t="shared" si="6"/>
        <v>961000</v>
      </c>
      <c r="K142">
        <v>1200</v>
      </c>
      <c r="L142">
        <f>IF(K142="","",K142*Parameters!$B$2)</f>
        <v>384000</v>
      </c>
      <c r="M142">
        <f t="shared" si="7"/>
        <v>993000</v>
      </c>
      <c r="N142">
        <v>500</v>
      </c>
      <c r="O142">
        <f>IF(N142="","",N142*Parameters!$B$2)</f>
        <v>160000</v>
      </c>
      <c r="P142">
        <f t="shared" si="8"/>
        <v>769000</v>
      </c>
    </row>
    <row r="143" spans="1:16">
      <c r="A143" t="s">
        <v>79</v>
      </c>
      <c r="B143" t="s">
        <v>194</v>
      </c>
      <c r="C143" t="s">
        <v>15</v>
      </c>
      <c r="D143" t="s">
        <v>16</v>
      </c>
      <c r="E143" t="s">
        <v>65</v>
      </c>
      <c r="F143">
        <v>2900000</v>
      </c>
      <c r="G143">
        <f>IF(F143="","",F143*Parameters!$B$1)</f>
        <v>609000</v>
      </c>
      <c r="H143">
        <v>1100</v>
      </c>
      <c r="I143">
        <f>IF(H143="","",H143*Parameters!$B$2)</f>
        <v>352000</v>
      </c>
      <c r="J143">
        <f t="shared" si="6"/>
        <v>961000</v>
      </c>
      <c r="K143">
        <v>1200</v>
      </c>
      <c r="L143">
        <f>IF(K143="","",K143*Parameters!$B$2)</f>
        <v>384000</v>
      </c>
      <c r="M143">
        <f t="shared" si="7"/>
        <v>993000</v>
      </c>
      <c r="N143">
        <v>500</v>
      </c>
      <c r="O143">
        <f>IF(N143="","",N143*Parameters!$B$2)</f>
        <v>160000</v>
      </c>
      <c r="P143">
        <f t="shared" si="8"/>
        <v>769000</v>
      </c>
    </row>
    <row r="144" spans="1:16">
      <c r="A144" t="s">
        <v>79</v>
      </c>
      <c r="B144" t="s">
        <v>194</v>
      </c>
      <c r="C144" t="s">
        <v>15</v>
      </c>
      <c r="D144" t="s">
        <v>16</v>
      </c>
      <c r="E144" t="s">
        <v>184</v>
      </c>
      <c r="F144">
        <v>2900000</v>
      </c>
      <c r="G144">
        <f>IF(F144="","",F144*Parameters!$B$1)</f>
        <v>609000</v>
      </c>
      <c r="H144">
        <v>1100</v>
      </c>
      <c r="I144">
        <f>IF(H144="","",H144*Parameters!$B$2)</f>
        <v>352000</v>
      </c>
      <c r="J144">
        <f t="shared" si="6"/>
        <v>961000</v>
      </c>
      <c r="K144">
        <v>1200</v>
      </c>
      <c r="L144">
        <f>IF(K144="","",K144*Parameters!$B$2)</f>
        <v>384000</v>
      </c>
      <c r="M144">
        <f t="shared" si="7"/>
        <v>993000</v>
      </c>
      <c r="N144">
        <v>500</v>
      </c>
      <c r="O144">
        <f>IF(N144="","",N144*Parameters!$B$2)</f>
        <v>160000</v>
      </c>
      <c r="P144">
        <f t="shared" si="8"/>
        <v>769000</v>
      </c>
    </row>
    <row r="145" spans="1:16">
      <c r="A145" t="s">
        <v>79</v>
      </c>
      <c r="B145" t="s">
        <v>195</v>
      </c>
      <c r="C145" t="s">
        <v>15</v>
      </c>
      <c r="D145" t="s">
        <v>16</v>
      </c>
      <c r="E145" t="s">
        <v>50</v>
      </c>
      <c r="F145">
        <v>2900000</v>
      </c>
      <c r="G145">
        <f>IF(F145="","",F145*Parameters!$B$1)</f>
        <v>609000</v>
      </c>
      <c r="H145">
        <v>1100</v>
      </c>
      <c r="I145">
        <f>IF(H145="","",H145*Parameters!$B$2)</f>
        <v>352000</v>
      </c>
      <c r="J145">
        <f t="shared" si="6"/>
        <v>961000</v>
      </c>
      <c r="K145">
        <v>1200</v>
      </c>
      <c r="L145">
        <f>IF(K145="","",K145*Parameters!$B$2)</f>
        <v>384000</v>
      </c>
      <c r="M145">
        <f t="shared" si="7"/>
        <v>993000</v>
      </c>
      <c r="N145">
        <v>500</v>
      </c>
      <c r="O145">
        <f>IF(N145="","",N145*Parameters!$B$2)</f>
        <v>160000</v>
      </c>
      <c r="P145">
        <f t="shared" si="8"/>
        <v>769000</v>
      </c>
    </row>
    <row r="146" spans="1:16">
      <c r="A146" t="s">
        <v>79</v>
      </c>
      <c r="B146" t="s">
        <v>195</v>
      </c>
      <c r="C146" t="s">
        <v>15</v>
      </c>
      <c r="D146" t="s">
        <v>16</v>
      </c>
      <c r="E146" t="s">
        <v>65</v>
      </c>
      <c r="F146">
        <v>2900000</v>
      </c>
      <c r="G146">
        <f>IF(F146="","",F146*Parameters!$B$1)</f>
        <v>609000</v>
      </c>
      <c r="H146">
        <v>1100</v>
      </c>
      <c r="I146">
        <f>IF(H146="","",H146*Parameters!$B$2)</f>
        <v>352000</v>
      </c>
      <c r="J146">
        <f t="shared" si="6"/>
        <v>961000</v>
      </c>
      <c r="K146">
        <v>1200</v>
      </c>
      <c r="L146">
        <f>IF(K146="","",K146*Parameters!$B$2)</f>
        <v>384000</v>
      </c>
      <c r="M146">
        <f t="shared" si="7"/>
        <v>993000</v>
      </c>
      <c r="N146">
        <v>500</v>
      </c>
      <c r="O146">
        <f>IF(N146="","",N146*Parameters!$B$2)</f>
        <v>160000</v>
      </c>
      <c r="P146">
        <f t="shared" si="8"/>
        <v>769000</v>
      </c>
    </row>
    <row r="147" spans="1:16">
      <c r="A147" t="s">
        <v>79</v>
      </c>
      <c r="B147" t="s">
        <v>195</v>
      </c>
      <c r="C147" t="s">
        <v>15</v>
      </c>
      <c r="D147" t="s">
        <v>16</v>
      </c>
      <c r="E147" t="s">
        <v>184</v>
      </c>
      <c r="F147">
        <v>2900000</v>
      </c>
      <c r="G147">
        <f>IF(F147="","",F147*Parameters!$B$1)</f>
        <v>609000</v>
      </c>
      <c r="H147">
        <v>1100</v>
      </c>
      <c r="I147">
        <f>IF(H147="","",H147*Parameters!$B$2)</f>
        <v>352000</v>
      </c>
      <c r="J147">
        <f t="shared" si="6"/>
        <v>961000</v>
      </c>
      <c r="K147">
        <v>1200</v>
      </c>
      <c r="L147">
        <f>IF(K147="","",K147*Parameters!$B$2)</f>
        <v>384000</v>
      </c>
      <c r="M147">
        <f t="shared" si="7"/>
        <v>993000</v>
      </c>
      <c r="N147">
        <v>500</v>
      </c>
      <c r="O147">
        <f>IF(N147="","",N147*Parameters!$B$2)</f>
        <v>160000</v>
      </c>
      <c r="P147">
        <f t="shared" si="8"/>
        <v>769000</v>
      </c>
    </row>
    <row r="148" spans="1:16">
      <c r="A148" t="s">
        <v>79</v>
      </c>
      <c r="B148" t="s">
        <v>196</v>
      </c>
      <c r="C148" t="s">
        <v>15</v>
      </c>
      <c r="D148" t="s">
        <v>16</v>
      </c>
      <c r="E148" t="s">
        <v>65</v>
      </c>
      <c r="F148">
        <v>2900000</v>
      </c>
      <c r="G148">
        <f>IF(F148="","",F148*Parameters!$B$1)</f>
        <v>609000</v>
      </c>
      <c r="H148">
        <v>1100</v>
      </c>
      <c r="I148">
        <f>IF(H148="","",H148*Parameters!$B$2)</f>
        <v>352000</v>
      </c>
      <c r="J148">
        <f t="shared" si="6"/>
        <v>961000</v>
      </c>
      <c r="K148">
        <v>1200</v>
      </c>
      <c r="L148">
        <f>IF(K148="","",K148*Parameters!$B$2)</f>
        <v>384000</v>
      </c>
      <c r="M148">
        <f t="shared" si="7"/>
        <v>993000</v>
      </c>
      <c r="N148">
        <v>500</v>
      </c>
      <c r="O148">
        <f>IF(N148="","",N148*Parameters!$B$2)</f>
        <v>160000</v>
      </c>
      <c r="P148">
        <f t="shared" si="8"/>
        <v>769000</v>
      </c>
    </row>
    <row r="149" spans="1:16">
      <c r="A149" t="s">
        <v>79</v>
      </c>
      <c r="B149" t="s">
        <v>197</v>
      </c>
      <c r="C149" t="s">
        <v>16</v>
      </c>
      <c r="D149" t="s">
        <v>15</v>
      </c>
      <c r="E149" t="s">
        <v>65</v>
      </c>
      <c r="F149">
        <v>2900000</v>
      </c>
      <c r="G149">
        <f>IF(F149="","",F149*Parameters!$B$1)</f>
        <v>609000</v>
      </c>
      <c r="H149">
        <v>1100</v>
      </c>
      <c r="I149">
        <f>IF(H149="","",H149*Parameters!$B$2)</f>
        <v>352000</v>
      </c>
      <c r="J149">
        <f t="shared" si="6"/>
        <v>961000</v>
      </c>
      <c r="K149">
        <v>1200</v>
      </c>
      <c r="L149">
        <f>IF(K149="","",K149*Parameters!$B$2)</f>
        <v>384000</v>
      </c>
      <c r="M149">
        <f t="shared" si="7"/>
        <v>993000</v>
      </c>
      <c r="N149">
        <v>500</v>
      </c>
      <c r="O149">
        <f>IF(N149="","",N149*Parameters!$B$2)</f>
        <v>160000</v>
      </c>
      <c r="P149">
        <f t="shared" si="8"/>
        <v>769000</v>
      </c>
    </row>
    <row r="150" spans="1:16">
      <c r="A150" t="s">
        <v>79</v>
      </c>
      <c r="B150" t="s">
        <v>159</v>
      </c>
      <c r="C150" t="s">
        <v>15</v>
      </c>
      <c r="D150" t="s">
        <v>16</v>
      </c>
      <c r="E150" t="s">
        <v>50</v>
      </c>
      <c r="F150">
        <v>2900000</v>
      </c>
      <c r="G150">
        <f>IF(F150="","",F150*Parameters!$B$1)</f>
        <v>609000</v>
      </c>
      <c r="H150">
        <v>1100</v>
      </c>
      <c r="I150">
        <f>IF(H150="","",H150*Parameters!$B$2)</f>
        <v>352000</v>
      </c>
      <c r="J150">
        <f t="shared" si="6"/>
        <v>961000</v>
      </c>
      <c r="K150">
        <v>1200</v>
      </c>
      <c r="L150">
        <f>IF(K150="","",K150*Parameters!$B$2)</f>
        <v>384000</v>
      </c>
      <c r="M150">
        <f t="shared" si="7"/>
        <v>993000</v>
      </c>
      <c r="N150">
        <v>500</v>
      </c>
      <c r="O150">
        <f>IF(N150="","",N150*Parameters!$B$2)</f>
        <v>160000</v>
      </c>
      <c r="P150">
        <f t="shared" si="8"/>
        <v>769000</v>
      </c>
    </row>
    <row r="151" spans="1:16">
      <c r="A151" t="s">
        <v>79</v>
      </c>
      <c r="B151" t="s">
        <v>159</v>
      </c>
      <c r="C151" t="s">
        <v>15</v>
      </c>
      <c r="D151" t="s">
        <v>16</v>
      </c>
      <c r="E151" t="s">
        <v>65</v>
      </c>
      <c r="F151">
        <v>2900000</v>
      </c>
      <c r="G151">
        <f>IF(F151="","",F151*Parameters!$B$1)</f>
        <v>609000</v>
      </c>
      <c r="H151">
        <v>1100</v>
      </c>
      <c r="I151">
        <f>IF(H151="","",H151*Parameters!$B$2)</f>
        <v>352000</v>
      </c>
      <c r="J151">
        <f t="shared" si="6"/>
        <v>961000</v>
      </c>
      <c r="K151">
        <v>1200</v>
      </c>
      <c r="L151">
        <f>IF(K151="","",K151*Parameters!$B$2)</f>
        <v>384000</v>
      </c>
      <c r="M151">
        <f t="shared" si="7"/>
        <v>993000</v>
      </c>
      <c r="N151">
        <v>500</v>
      </c>
      <c r="O151">
        <f>IF(N151="","",N151*Parameters!$B$2)</f>
        <v>160000</v>
      </c>
      <c r="P151">
        <f t="shared" si="8"/>
        <v>769000</v>
      </c>
    </row>
    <row r="152" spans="1:16">
      <c r="A152" t="s">
        <v>79</v>
      </c>
      <c r="B152" t="s">
        <v>159</v>
      </c>
      <c r="C152" t="s">
        <v>15</v>
      </c>
      <c r="D152" t="s">
        <v>16</v>
      </c>
      <c r="E152" t="s">
        <v>184</v>
      </c>
      <c r="F152">
        <v>2900000</v>
      </c>
      <c r="G152">
        <f>IF(F152="","",F152*Parameters!$B$1)</f>
        <v>609000</v>
      </c>
      <c r="H152">
        <v>1100</v>
      </c>
      <c r="I152">
        <f>IF(H152="","",H152*Parameters!$B$2)</f>
        <v>352000</v>
      </c>
      <c r="J152">
        <f t="shared" si="6"/>
        <v>961000</v>
      </c>
      <c r="K152">
        <v>1200</v>
      </c>
      <c r="L152">
        <f>IF(K152="","",K152*Parameters!$B$2)</f>
        <v>384000</v>
      </c>
      <c r="M152">
        <f t="shared" si="7"/>
        <v>993000</v>
      </c>
      <c r="N152">
        <v>500</v>
      </c>
      <c r="O152">
        <f>IF(N152="","",N152*Parameters!$B$2)</f>
        <v>160000</v>
      </c>
      <c r="P152">
        <f t="shared" si="8"/>
        <v>769000</v>
      </c>
    </row>
    <row r="153" spans="1:16">
      <c r="A153" t="s">
        <v>79</v>
      </c>
      <c r="B153" t="s">
        <v>198</v>
      </c>
      <c r="C153" t="s">
        <v>15</v>
      </c>
      <c r="D153" t="s">
        <v>16</v>
      </c>
      <c r="E153" t="s">
        <v>50</v>
      </c>
      <c r="F153">
        <v>2900000</v>
      </c>
      <c r="G153">
        <f>IF(F153="","",F153*Parameters!$B$1)</f>
        <v>609000</v>
      </c>
      <c r="H153">
        <v>1100</v>
      </c>
      <c r="I153">
        <f>IF(H153="","",H153*Parameters!$B$2)</f>
        <v>352000</v>
      </c>
      <c r="J153">
        <f t="shared" si="6"/>
        <v>961000</v>
      </c>
      <c r="K153">
        <v>1200</v>
      </c>
      <c r="L153">
        <f>IF(K153="","",K153*Parameters!$B$2)</f>
        <v>384000</v>
      </c>
      <c r="M153">
        <f t="shared" si="7"/>
        <v>993000</v>
      </c>
      <c r="N153">
        <v>500</v>
      </c>
      <c r="O153">
        <f>IF(N153="","",N153*Parameters!$B$2)</f>
        <v>160000</v>
      </c>
      <c r="P153">
        <f t="shared" si="8"/>
        <v>769000</v>
      </c>
    </row>
    <row r="154" spans="1:16">
      <c r="A154" t="s">
        <v>79</v>
      </c>
      <c r="B154" t="s">
        <v>198</v>
      </c>
      <c r="C154" t="s">
        <v>15</v>
      </c>
      <c r="D154" t="s">
        <v>16</v>
      </c>
      <c r="E154" t="s">
        <v>65</v>
      </c>
      <c r="F154">
        <v>2900000</v>
      </c>
      <c r="G154">
        <f>IF(F154="","",F154*Parameters!$B$1)</f>
        <v>609000</v>
      </c>
      <c r="H154">
        <v>1100</v>
      </c>
      <c r="I154">
        <f>IF(H154="","",H154*Parameters!$B$2)</f>
        <v>352000</v>
      </c>
      <c r="J154">
        <f t="shared" si="6"/>
        <v>961000</v>
      </c>
      <c r="K154">
        <v>1200</v>
      </c>
      <c r="L154">
        <f>IF(K154="","",K154*Parameters!$B$2)</f>
        <v>384000</v>
      </c>
      <c r="M154">
        <f t="shared" si="7"/>
        <v>993000</v>
      </c>
      <c r="N154">
        <v>500</v>
      </c>
      <c r="O154">
        <f>IF(N154="","",N154*Parameters!$B$2)</f>
        <v>160000</v>
      </c>
      <c r="P154">
        <f t="shared" si="8"/>
        <v>769000</v>
      </c>
    </row>
    <row r="155" spans="1:16">
      <c r="A155" t="s">
        <v>79</v>
      </c>
      <c r="B155" t="s">
        <v>198</v>
      </c>
      <c r="C155" t="s">
        <v>15</v>
      </c>
      <c r="D155" t="s">
        <v>16</v>
      </c>
      <c r="E155" t="s">
        <v>184</v>
      </c>
      <c r="F155">
        <v>2900000</v>
      </c>
      <c r="G155">
        <f>IF(F155="","",F155*Parameters!$B$1)</f>
        <v>609000</v>
      </c>
      <c r="H155">
        <v>1100</v>
      </c>
      <c r="I155">
        <f>IF(H155="","",H155*Parameters!$B$2)</f>
        <v>352000</v>
      </c>
      <c r="J155">
        <f t="shared" si="6"/>
        <v>961000</v>
      </c>
      <c r="K155">
        <v>1200</v>
      </c>
      <c r="L155">
        <f>IF(K155="","",K155*Parameters!$B$2)</f>
        <v>384000</v>
      </c>
      <c r="M155">
        <f t="shared" si="7"/>
        <v>993000</v>
      </c>
      <c r="N155">
        <v>500</v>
      </c>
      <c r="O155">
        <f>IF(N155="","",N155*Parameters!$B$2)</f>
        <v>160000</v>
      </c>
      <c r="P155">
        <f t="shared" si="8"/>
        <v>769000</v>
      </c>
    </row>
    <row r="156" spans="1:16">
      <c r="A156" t="s">
        <v>79</v>
      </c>
      <c r="B156" t="s">
        <v>199</v>
      </c>
      <c r="C156" t="s">
        <v>15</v>
      </c>
      <c r="D156" t="s">
        <v>16</v>
      </c>
      <c r="E156" t="s">
        <v>50</v>
      </c>
      <c r="F156">
        <v>2900000</v>
      </c>
      <c r="G156">
        <f>IF(F156="","",F156*Parameters!$B$1)</f>
        <v>609000</v>
      </c>
      <c r="H156">
        <v>1100</v>
      </c>
      <c r="I156">
        <f>IF(H156="","",H156*Parameters!$B$2)</f>
        <v>352000</v>
      </c>
      <c r="J156">
        <f t="shared" si="6"/>
        <v>961000</v>
      </c>
      <c r="K156">
        <v>1200</v>
      </c>
      <c r="L156">
        <f>IF(K156="","",K156*Parameters!$B$2)</f>
        <v>384000</v>
      </c>
      <c r="M156">
        <f t="shared" si="7"/>
        <v>993000</v>
      </c>
      <c r="N156">
        <v>500</v>
      </c>
      <c r="O156">
        <f>IF(N156="","",N156*Parameters!$B$2)</f>
        <v>160000</v>
      </c>
      <c r="P156">
        <f t="shared" si="8"/>
        <v>769000</v>
      </c>
    </row>
    <row r="157" spans="1:16">
      <c r="A157" t="s">
        <v>79</v>
      </c>
      <c r="B157" t="s">
        <v>199</v>
      </c>
      <c r="C157" t="s">
        <v>15</v>
      </c>
      <c r="D157" t="s">
        <v>16</v>
      </c>
      <c r="E157" t="s">
        <v>65</v>
      </c>
      <c r="F157">
        <v>2900000</v>
      </c>
      <c r="G157">
        <f>IF(F157="","",F157*Parameters!$B$1)</f>
        <v>609000</v>
      </c>
      <c r="H157">
        <v>1100</v>
      </c>
      <c r="I157">
        <f>IF(H157="","",H157*Parameters!$B$2)</f>
        <v>352000</v>
      </c>
      <c r="J157">
        <f t="shared" si="6"/>
        <v>961000</v>
      </c>
      <c r="K157">
        <v>1200</v>
      </c>
      <c r="L157">
        <f>IF(K157="","",K157*Parameters!$B$2)</f>
        <v>384000</v>
      </c>
      <c r="M157">
        <f t="shared" si="7"/>
        <v>993000</v>
      </c>
      <c r="N157">
        <v>500</v>
      </c>
      <c r="O157">
        <f>IF(N157="","",N157*Parameters!$B$2)</f>
        <v>160000</v>
      </c>
      <c r="P157">
        <f t="shared" si="8"/>
        <v>769000</v>
      </c>
    </row>
    <row r="158" spans="1:16">
      <c r="A158" t="s">
        <v>79</v>
      </c>
      <c r="B158" t="s">
        <v>200</v>
      </c>
      <c r="C158" t="s">
        <v>15</v>
      </c>
      <c r="D158" t="s">
        <v>16</v>
      </c>
      <c r="E158" t="s">
        <v>50</v>
      </c>
      <c r="F158">
        <v>2900000</v>
      </c>
      <c r="G158">
        <f>IF(F158="","",F158*Parameters!$B$1)</f>
        <v>609000</v>
      </c>
      <c r="H158">
        <v>1100</v>
      </c>
      <c r="I158">
        <f>IF(H158="","",H158*Parameters!$B$2)</f>
        <v>352000</v>
      </c>
      <c r="J158">
        <f t="shared" si="6"/>
        <v>961000</v>
      </c>
      <c r="K158">
        <v>1200</v>
      </c>
      <c r="L158">
        <f>IF(K158="","",K158*Parameters!$B$2)</f>
        <v>384000</v>
      </c>
      <c r="M158">
        <f t="shared" si="7"/>
        <v>993000</v>
      </c>
      <c r="N158">
        <v>500</v>
      </c>
      <c r="O158">
        <f>IF(N158="","",N158*Parameters!$B$2)</f>
        <v>160000</v>
      </c>
      <c r="P158">
        <f t="shared" si="8"/>
        <v>769000</v>
      </c>
    </row>
    <row r="159" spans="1:16">
      <c r="A159" t="s">
        <v>79</v>
      </c>
      <c r="B159" t="s">
        <v>200</v>
      </c>
      <c r="C159" t="s">
        <v>15</v>
      </c>
      <c r="D159" t="s">
        <v>16</v>
      </c>
      <c r="E159" t="s">
        <v>65</v>
      </c>
      <c r="F159">
        <v>2900000</v>
      </c>
      <c r="G159">
        <f>IF(F159="","",F159*Parameters!$B$1)</f>
        <v>609000</v>
      </c>
      <c r="H159">
        <v>1100</v>
      </c>
      <c r="I159">
        <f>IF(H159="","",H159*Parameters!$B$2)</f>
        <v>352000</v>
      </c>
      <c r="J159">
        <f t="shared" si="6"/>
        <v>961000</v>
      </c>
      <c r="K159">
        <v>1200</v>
      </c>
      <c r="L159">
        <f>IF(K159="","",K159*Parameters!$B$2)</f>
        <v>384000</v>
      </c>
      <c r="M159">
        <f t="shared" si="7"/>
        <v>993000</v>
      </c>
      <c r="N159">
        <v>500</v>
      </c>
      <c r="O159">
        <f>IF(N159="","",N159*Parameters!$B$2)</f>
        <v>160000</v>
      </c>
      <c r="P159">
        <f t="shared" si="8"/>
        <v>769000</v>
      </c>
    </row>
    <row r="160" spans="1:16">
      <c r="A160" t="s">
        <v>79</v>
      </c>
      <c r="B160" t="s">
        <v>200</v>
      </c>
      <c r="C160" t="s">
        <v>15</v>
      </c>
      <c r="D160" t="s">
        <v>16</v>
      </c>
      <c r="E160" t="s">
        <v>184</v>
      </c>
      <c r="F160">
        <v>2900000</v>
      </c>
      <c r="G160">
        <f>IF(F160="","",F160*Parameters!$B$1)</f>
        <v>609000</v>
      </c>
      <c r="H160">
        <v>1100</v>
      </c>
      <c r="I160">
        <f>IF(H160="","",H160*Parameters!$B$2)</f>
        <v>352000</v>
      </c>
      <c r="J160">
        <f t="shared" si="6"/>
        <v>961000</v>
      </c>
      <c r="K160">
        <v>1200</v>
      </c>
      <c r="L160">
        <f>IF(K160="","",K160*Parameters!$B$2)</f>
        <v>384000</v>
      </c>
      <c r="M160">
        <f t="shared" si="7"/>
        <v>993000</v>
      </c>
      <c r="N160">
        <v>500</v>
      </c>
      <c r="O160">
        <f>IF(N160="","",N160*Parameters!$B$2)</f>
        <v>160000</v>
      </c>
      <c r="P160">
        <f t="shared" si="8"/>
        <v>769000</v>
      </c>
    </row>
    <row r="161" spans="1:16">
      <c r="A161" t="s">
        <v>79</v>
      </c>
      <c r="B161" t="s">
        <v>162</v>
      </c>
      <c r="C161" t="s">
        <v>15</v>
      </c>
      <c r="D161" t="s">
        <v>16</v>
      </c>
      <c r="E161" t="s">
        <v>50</v>
      </c>
      <c r="F161">
        <v>2900000</v>
      </c>
      <c r="G161">
        <f>IF(F161="","",F161*Parameters!$B$1)</f>
        <v>609000</v>
      </c>
      <c r="H161">
        <v>1100</v>
      </c>
      <c r="I161">
        <f>IF(H161="","",H161*Parameters!$B$2)</f>
        <v>352000</v>
      </c>
      <c r="J161">
        <f t="shared" si="6"/>
        <v>961000</v>
      </c>
      <c r="K161">
        <v>1200</v>
      </c>
      <c r="L161">
        <f>IF(K161="","",K161*Parameters!$B$2)</f>
        <v>384000</v>
      </c>
      <c r="M161">
        <f t="shared" si="7"/>
        <v>993000</v>
      </c>
      <c r="N161">
        <v>500</v>
      </c>
      <c r="O161">
        <f>IF(N161="","",N161*Parameters!$B$2)</f>
        <v>160000</v>
      </c>
      <c r="P161">
        <f t="shared" si="8"/>
        <v>769000</v>
      </c>
    </row>
    <row r="162" spans="1:16">
      <c r="A162" t="s">
        <v>79</v>
      </c>
      <c r="B162" t="s">
        <v>162</v>
      </c>
      <c r="C162" t="s">
        <v>15</v>
      </c>
      <c r="D162" t="s">
        <v>16</v>
      </c>
      <c r="E162" t="s">
        <v>65</v>
      </c>
      <c r="F162">
        <v>2900000</v>
      </c>
      <c r="G162">
        <f>IF(F162="","",F162*Parameters!$B$1)</f>
        <v>609000</v>
      </c>
      <c r="H162">
        <v>1100</v>
      </c>
      <c r="I162">
        <f>IF(H162="","",H162*Parameters!$B$2)</f>
        <v>352000</v>
      </c>
      <c r="J162">
        <f t="shared" si="6"/>
        <v>961000</v>
      </c>
      <c r="K162">
        <v>1200</v>
      </c>
      <c r="L162">
        <f>IF(K162="","",K162*Parameters!$B$2)</f>
        <v>384000</v>
      </c>
      <c r="M162">
        <f t="shared" si="7"/>
        <v>993000</v>
      </c>
      <c r="N162">
        <v>500</v>
      </c>
      <c r="O162">
        <f>IF(N162="","",N162*Parameters!$B$2)</f>
        <v>160000</v>
      </c>
      <c r="P162">
        <f t="shared" si="8"/>
        <v>769000</v>
      </c>
    </row>
    <row r="163" spans="1:16">
      <c r="A163" t="s">
        <v>79</v>
      </c>
      <c r="B163" t="s">
        <v>201</v>
      </c>
      <c r="C163" t="s">
        <v>15</v>
      </c>
      <c r="D163" t="s">
        <v>16</v>
      </c>
      <c r="E163" t="s">
        <v>50</v>
      </c>
      <c r="F163">
        <v>2900000</v>
      </c>
      <c r="G163">
        <f>IF(F163="","",F163*Parameters!$B$1)</f>
        <v>609000</v>
      </c>
      <c r="H163">
        <v>1100</v>
      </c>
      <c r="I163">
        <f>IF(H163="","",H163*Parameters!$B$2)</f>
        <v>352000</v>
      </c>
      <c r="J163">
        <f t="shared" si="6"/>
        <v>961000</v>
      </c>
      <c r="K163">
        <v>1200</v>
      </c>
      <c r="L163">
        <f>IF(K163="","",K163*Parameters!$B$2)</f>
        <v>384000</v>
      </c>
      <c r="M163">
        <f t="shared" si="7"/>
        <v>993000</v>
      </c>
      <c r="N163">
        <v>500</v>
      </c>
      <c r="O163">
        <f>IF(N163="","",N163*Parameters!$B$2)</f>
        <v>160000</v>
      </c>
      <c r="P163">
        <f t="shared" si="8"/>
        <v>769000</v>
      </c>
    </row>
    <row r="164" spans="1:16">
      <c r="A164" t="s">
        <v>79</v>
      </c>
      <c r="B164" t="s">
        <v>201</v>
      </c>
      <c r="C164" t="s">
        <v>15</v>
      </c>
      <c r="D164" t="s">
        <v>16</v>
      </c>
      <c r="E164" t="s">
        <v>65</v>
      </c>
      <c r="F164">
        <v>2900000</v>
      </c>
      <c r="G164">
        <f>IF(F164="","",F164*Parameters!$B$1)</f>
        <v>609000</v>
      </c>
      <c r="H164">
        <v>1100</v>
      </c>
      <c r="I164">
        <f>IF(H164="","",H164*Parameters!$B$2)</f>
        <v>352000</v>
      </c>
      <c r="J164">
        <f t="shared" si="6"/>
        <v>961000</v>
      </c>
      <c r="K164">
        <v>1200</v>
      </c>
      <c r="L164">
        <f>IF(K164="","",K164*Parameters!$B$2)</f>
        <v>384000</v>
      </c>
      <c r="M164">
        <f t="shared" si="7"/>
        <v>993000</v>
      </c>
      <c r="N164">
        <v>500</v>
      </c>
      <c r="O164">
        <f>IF(N164="","",N164*Parameters!$B$2)</f>
        <v>160000</v>
      </c>
      <c r="P164">
        <f t="shared" si="8"/>
        <v>769000</v>
      </c>
    </row>
    <row r="165" spans="1:16">
      <c r="A165" t="s">
        <v>79</v>
      </c>
      <c r="B165" t="s">
        <v>202</v>
      </c>
      <c r="C165" t="s">
        <v>15</v>
      </c>
      <c r="D165" t="s">
        <v>16</v>
      </c>
      <c r="E165" t="s">
        <v>50</v>
      </c>
      <c r="F165">
        <v>2900000</v>
      </c>
      <c r="G165">
        <f>IF(F165="","",F165*Parameters!$B$1)</f>
        <v>609000</v>
      </c>
      <c r="H165">
        <v>1100</v>
      </c>
      <c r="I165">
        <f>IF(H165="","",H165*Parameters!$B$2)</f>
        <v>352000</v>
      </c>
      <c r="J165">
        <f t="shared" si="6"/>
        <v>961000</v>
      </c>
      <c r="K165">
        <v>1200</v>
      </c>
      <c r="L165">
        <f>IF(K165="","",K165*Parameters!$B$2)</f>
        <v>384000</v>
      </c>
      <c r="M165">
        <f t="shared" si="7"/>
        <v>993000</v>
      </c>
      <c r="N165">
        <v>500</v>
      </c>
      <c r="O165">
        <f>IF(N165="","",N165*Parameters!$B$2)</f>
        <v>160000</v>
      </c>
      <c r="P165">
        <f t="shared" si="8"/>
        <v>769000</v>
      </c>
    </row>
    <row r="166" spans="1:16">
      <c r="A166" t="s">
        <v>79</v>
      </c>
      <c r="B166" t="s">
        <v>203</v>
      </c>
      <c r="C166" t="s">
        <v>15</v>
      </c>
      <c r="D166" t="s">
        <v>16</v>
      </c>
      <c r="E166" t="s">
        <v>50</v>
      </c>
      <c r="F166">
        <v>2900000</v>
      </c>
      <c r="G166">
        <f>IF(F166="","",F166*Parameters!$B$1)</f>
        <v>609000</v>
      </c>
      <c r="H166">
        <v>1100</v>
      </c>
      <c r="I166">
        <f>IF(H166="","",H166*Parameters!$B$2)</f>
        <v>352000</v>
      </c>
      <c r="J166">
        <f t="shared" si="6"/>
        <v>961000</v>
      </c>
      <c r="K166">
        <v>1200</v>
      </c>
      <c r="L166">
        <f>IF(K166="","",K166*Parameters!$B$2)</f>
        <v>384000</v>
      </c>
      <c r="M166">
        <f t="shared" si="7"/>
        <v>993000</v>
      </c>
      <c r="N166">
        <v>500</v>
      </c>
      <c r="O166">
        <f>IF(N166="","",N166*Parameters!$B$2)</f>
        <v>160000</v>
      </c>
      <c r="P166">
        <f t="shared" si="8"/>
        <v>769000</v>
      </c>
    </row>
    <row r="167" spans="1:16">
      <c r="A167" t="s">
        <v>79</v>
      </c>
      <c r="B167" t="s">
        <v>203</v>
      </c>
      <c r="C167" t="s">
        <v>15</v>
      </c>
      <c r="D167" t="s">
        <v>16</v>
      </c>
      <c r="E167" t="s">
        <v>65</v>
      </c>
      <c r="F167">
        <v>2900000</v>
      </c>
      <c r="G167">
        <f>IF(F167="","",F167*Parameters!$B$1)</f>
        <v>609000</v>
      </c>
      <c r="H167">
        <v>1100</v>
      </c>
      <c r="I167">
        <f>IF(H167="","",H167*Parameters!$B$2)</f>
        <v>352000</v>
      </c>
      <c r="J167">
        <f t="shared" si="6"/>
        <v>961000</v>
      </c>
      <c r="K167">
        <v>1200</v>
      </c>
      <c r="L167">
        <f>IF(K167="","",K167*Parameters!$B$2)</f>
        <v>384000</v>
      </c>
      <c r="M167">
        <f t="shared" si="7"/>
        <v>993000</v>
      </c>
      <c r="N167">
        <v>500</v>
      </c>
      <c r="O167">
        <f>IF(N167="","",N167*Parameters!$B$2)</f>
        <v>160000</v>
      </c>
      <c r="P167">
        <f t="shared" si="8"/>
        <v>769000</v>
      </c>
    </row>
    <row r="168" spans="1:16">
      <c r="A168" t="s">
        <v>79</v>
      </c>
      <c r="B168" t="s">
        <v>203</v>
      </c>
      <c r="C168" t="s">
        <v>15</v>
      </c>
      <c r="D168" t="s">
        <v>16</v>
      </c>
      <c r="E168" t="s">
        <v>184</v>
      </c>
      <c r="F168">
        <v>2900000</v>
      </c>
      <c r="G168">
        <f>IF(F168="","",F168*Parameters!$B$1)</f>
        <v>609000</v>
      </c>
      <c r="H168">
        <v>1100</v>
      </c>
      <c r="I168">
        <f>IF(H168="","",H168*Parameters!$B$2)</f>
        <v>352000</v>
      </c>
      <c r="J168">
        <f t="shared" si="6"/>
        <v>961000</v>
      </c>
      <c r="K168">
        <v>1200</v>
      </c>
      <c r="L168">
        <f>IF(K168="","",K168*Parameters!$B$2)</f>
        <v>384000</v>
      </c>
      <c r="M168">
        <f t="shared" si="7"/>
        <v>993000</v>
      </c>
      <c r="N168">
        <v>500</v>
      </c>
      <c r="O168">
        <f>IF(N168="","",N168*Parameters!$B$2)</f>
        <v>160000</v>
      </c>
      <c r="P168">
        <f t="shared" si="8"/>
        <v>769000</v>
      </c>
    </row>
    <row r="169" spans="1:16">
      <c r="A169" t="s">
        <v>79</v>
      </c>
      <c r="B169" t="s">
        <v>204</v>
      </c>
      <c r="C169" t="s">
        <v>15</v>
      </c>
      <c r="D169" t="s">
        <v>16</v>
      </c>
      <c r="E169" t="s">
        <v>50</v>
      </c>
      <c r="F169">
        <v>2900000</v>
      </c>
      <c r="G169">
        <f>IF(F169="","",F169*Parameters!$B$1)</f>
        <v>609000</v>
      </c>
      <c r="H169">
        <v>1100</v>
      </c>
      <c r="I169">
        <f>IF(H169="","",H169*Parameters!$B$2)</f>
        <v>352000</v>
      </c>
      <c r="J169">
        <f t="shared" si="6"/>
        <v>961000</v>
      </c>
      <c r="K169">
        <v>1200</v>
      </c>
      <c r="L169">
        <f>IF(K169="","",K169*Parameters!$B$2)</f>
        <v>384000</v>
      </c>
      <c r="M169">
        <f t="shared" si="7"/>
        <v>993000</v>
      </c>
      <c r="N169">
        <v>500</v>
      </c>
      <c r="O169">
        <f>IF(N169="","",N169*Parameters!$B$2)</f>
        <v>160000</v>
      </c>
      <c r="P169">
        <f t="shared" si="8"/>
        <v>769000</v>
      </c>
    </row>
    <row r="170" spans="1:16">
      <c r="A170" t="s">
        <v>79</v>
      </c>
      <c r="B170" t="s">
        <v>204</v>
      </c>
      <c r="C170" t="s">
        <v>15</v>
      </c>
      <c r="D170" t="s">
        <v>16</v>
      </c>
      <c r="E170" t="s">
        <v>65</v>
      </c>
      <c r="F170">
        <v>2900000</v>
      </c>
      <c r="G170">
        <f>IF(F170="","",F170*Parameters!$B$1)</f>
        <v>609000</v>
      </c>
      <c r="H170">
        <v>1100</v>
      </c>
      <c r="I170">
        <f>IF(H170="","",H170*Parameters!$B$2)</f>
        <v>352000</v>
      </c>
      <c r="J170">
        <f t="shared" si="6"/>
        <v>961000</v>
      </c>
      <c r="K170">
        <v>1200</v>
      </c>
      <c r="L170">
        <f>IF(K170="","",K170*Parameters!$B$2)</f>
        <v>384000</v>
      </c>
      <c r="M170">
        <f t="shared" si="7"/>
        <v>993000</v>
      </c>
      <c r="N170">
        <v>500</v>
      </c>
      <c r="O170">
        <f>IF(N170="","",N170*Parameters!$B$2)</f>
        <v>160000</v>
      </c>
      <c r="P170">
        <f t="shared" si="8"/>
        <v>769000</v>
      </c>
    </row>
    <row r="171" spans="1:16">
      <c r="A171" t="s">
        <v>79</v>
      </c>
      <c r="B171" t="s">
        <v>205</v>
      </c>
      <c r="C171" t="s">
        <v>15</v>
      </c>
      <c r="D171" t="s">
        <v>16</v>
      </c>
      <c r="E171" t="s">
        <v>50</v>
      </c>
      <c r="F171">
        <v>3695000</v>
      </c>
      <c r="G171">
        <f>IF(F171="","",F171*Parameters!$B$1)</f>
        <v>775950</v>
      </c>
      <c r="H171">
        <v>1100</v>
      </c>
      <c r="I171">
        <f>IF(H171="","",H171*Parameters!$B$2)</f>
        <v>352000</v>
      </c>
      <c r="J171">
        <f t="shared" si="6"/>
        <v>1127950</v>
      </c>
      <c r="K171">
        <v>1200</v>
      </c>
      <c r="L171">
        <f>IF(K171="","",K171*Parameters!$B$2)</f>
        <v>384000</v>
      </c>
      <c r="M171">
        <f t="shared" si="7"/>
        <v>1159950</v>
      </c>
      <c r="N171">
        <v>500</v>
      </c>
      <c r="O171">
        <f>IF(N171="","",N171*Parameters!$B$2)</f>
        <v>160000</v>
      </c>
      <c r="P171">
        <f t="shared" si="8"/>
        <v>935950</v>
      </c>
    </row>
    <row r="172" spans="1:16">
      <c r="A172" t="s">
        <v>79</v>
      </c>
      <c r="B172" t="s">
        <v>205</v>
      </c>
      <c r="C172" t="s">
        <v>15</v>
      </c>
      <c r="D172" t="s">
        <v>16</v>
      </c>
      <c r="E172" t="s">
        <v>65</v>
      </c>
      <c r="F172">
        <v>3695000</v>
      </c>
      <c r="G172">
        <f>IF(F172="","",F172*Parameters!$B$1)</f>
        <v>775950</v>
      </c>
      <c r="H172">
        <v>1100</v>
      </c>
      <c r="I172">
        <f>IF(H172="","",H172*Parameters!$B$2)</f>
        <v>352000</v>
      </c>
      <c r="J172">
        <f t="shared" si="6"/>
        <v>1127950</v>
      </c>
      <c r="K172">
        <v>1200</v>
      </c>
      <c r="L172">
        <f>IF(K172="","",K172*Parameters!$B$2)</f>
        <v>384000</v>
      </c>
      <c r="M172">
        <f t="shared" si="7"/>
        <v>1159950</v>
      </c>
      <c r="N172">
        <v>500</v>
      </c>
      <c r="O172">
        <f>IF(N172="","",N172*Parameters!$B$2)</f>
        <v>160000</v>
      </c>
      <c r="P172">
        <f t="shared" si="8"/>
        <v>935950</v>
      </c>
    </row>
    <row r="173" spans="1:16">
      <c r="A173" t="s">
        <v>79</v>
      </c>
      <c r="B173" t="s">
        <v>206</v>
      </c>
      <c r="C173" t="s">
        <v>16</v>
      </c>
      <c r="D173" t="s">
        <v>16</v>
      </c>
      <c r="E173" t="s">
        <v>50</v>
      </c>
      <c r="F173">
        <v>3695000</v>
      </c>
      <c r="G173">
        <f>IF(F173="","",F173*Parameters!$B$1)</f>
        <v>775950</v>
      </c>
      <c r="H173">
        <v>1100</v>
      </c>
      <c r="I173">
        <f>IF(H173="","",H173*Parameters!$B$2)</f>
        <v>352000</v>
      </c>
      <c r="J173">
        <f t="shared" si="6"/>
        <v>1127950</v>
      </c>
      <c r="K173">
        <v>1200</v>
      </c>
      <c r="L173">
        <f>IF(K173="","",K173*Parameters!$B$2)</f>
        <v>384000</v>
      </c>
      <c r="M173">
        <f t="shared" si="7"/>
        <v>1159950</v>
      </c>
      <c r="N173">
        <v>500</v>
      </c>
      <c r="O173">
        <f>IF(N173="","",N173*Parameters!$B$2)</f>
        <v>160000</v>
      </c>
      <c r="P173">
        <f t="shared" si="8"/>
        <v>935950</v>
      </c>
    </row>
    <row r="174" spans="1:16">
      <c r="A174" t="s">
        <v>79</v>
      </c>
      <c r="B174" t="s">
        <v>207</v>
      </c>
      <c r="C174" t="s">
        <v>16</v>
      </c>
      <c r="D174" t="s">
        <v>16</v>
      </c>
      <c r="E174" t="s">
        <v>50</v>
      </c>
      <c r="F174">
        <v>3695000</v>
      </c>
      <c r="G174">
        <f>IF(F174="","",F174*Parameters!$B$1)</f>
        <v>775950</v>
      </c>
      <c r="H174">
        <v>1100</v>
      </c>
      <c r="I174">
        <f>IF(H174="","",H174*Parameters!$B$2)</f>
        <v>352000</v>
      </c>
      <c r="J174">
        <f t="shared" si="6"/>
        <v>1127950</v>
      </c>
      <c r="K174">
        <v>1200</v>
      </c>
      <c r="L174">
        <f>IF(K174="","",K174*Parameters!$B$2)</f>
        <v>384000</v>
      </c>
      <c r="M174">
        <f t="shared" si="7"/>
        <v>1159950</v>
      </c>
      <c r="N174">
        <v>500</v>
      </c>
      <c r="O174">
        <f>IF(N174="","",N174*Parameters!$B$2)</f>
        <v>160000</v>
      </c>
      <c r="P174">
        <f t="shared" si="8"/>
        <v>935950</v>
      </c>
    </row>
    <row r="175" spans="1:16">
      <c r="A175" t="s">
        <v>79</v>
      </c>
      <c r="B175" t="s">
        <v>208</v>
      </c>
      <c r="C175" t="s">
        <v>16</v>
      </c>
      <c r="D175" t="s">
        <v>16</v>
      </c>
      <c r="E175" t="s">
        <v>50</v>
      </c>
      <c r="F175">
        <v>3695000</v>
      </c>
      <c r="G175">
        <f>IF(F175="","",F175*Parameters!$B$1)</f>
        <v>775950</v>
      </c>
      <c r="H175">
        <v>1100</v>
      </c>
      <c r="I175">
        <f>IF(H175="","",H175*Parameters!$B$2)</f>
        <v>352000</v>
      </c>
      <c r="J175">
        <f t="shared" si="6"/>
        <v>1127950</v>
      </c>
      <c r="K175">
        <v>1200</v>
      </c>
      <c r="L175">
        <f>IF(K175="","",K175*Parameters!$B$2)</f>
        <v>384000</v>
      </c>
      <c r="M175">
        <f t="shared" si="7"/>
        <v>1159950</v>
      </c>
      <c r="N175">
        <v>500</v>
      </c>
      <c r="O175">
        <f>IF(N175="","",N175*Parameters!$B$2)</f>
        <v>160000</v>
      </c>
      <c r="P175">
        <f t="shared" si="8"/>
        <v>935950</v>
      </c>
    </row>
    <row r="176" spans="1:16">
      <c r="A176" t="s">
        <v>79</v>
      </c>
      <c r="B176" t="s">
        <v>209</v>
      </c>
      <c r="C176" t="s">
        <v>16</v>
      </c>
      <c r="D176" t="s">
        <v>16</v>
      </c>
      <c r="E176" t="s">
        <v>65</v>
      </c>
      <c r="F176">
        <v>3695000</v>
      </c>
      <c r="G176">
        <f>IF(F176="","",F176*Parameters!$B$1)</f>
        <v>775950</v>
      </c>
      <c r="H176">
        <v>1100</v>
      </c>
      <c r="I176">
        <f>IF(H176="","",H176*Parameters!$B$2)</f>
        <v>352000</v>
      </c>
      <c r="J176">
        <f t="shared" si="6"/>
        <v>1127950</v>
      </c>
      <c r="K176">
        <v>1200</v>
      </c>
      <c r="L176">
        <f>IF(K176="","",K176*Parameters!$B$2)</f>
        <v>384000</v>
      </c>
      <c r="M176">
        <f t="shared" si="7"/>
        <v>1159950</v>
      </c>
      <c r="N176">
        <v>500</v>
      </c>
      <c r="O176">
        <f>IF(N176="","",N176*Parameters!$B$2)</f>
        <v>160000</v>
      </c>
      <c r="P176">
        <f t="shared" si="8"/>
        <v>935950</v>
      </c>
    </row>
    <row r="177" spans="1:16">
      <c r="A177" t="s">
        <v>79</v>
      </c>
      <c r="B177" t="s">
        <v>210</v>
      </c>
      <c r="C177" t="s">
        <v>16</v>
      </c>
      <c r="D177" t="s">
        <v>16</v>
      </c>
      <c r="E177" t="s">
        <v>50</v>
      </c>
      <c r="F177">
        <v>3695000</v>
      </c>
      <c r="G177">
        <f>IF(F177="","",F177*Parameters!$B$1)</f>
        <v>775950</v>
      </c>
      <c r="H177">
        <v>1100</v>
      </c>
      <c r="I177">
        <f>IF(H177="","",H177*Parameters!$B$2)</f>
        <v>352000</v>
      </c>
      <c r="J177">
        <f t="shared" si="6"/>
        <v>1127950</v>
      </c>
      <c r="K177">
        <v>1200</v>
      </c>
      <c r="L177">
        <f>IF(K177="","",K177*Parameters!$B$2)</f>
        <v>384000</v>
      </c>
      <c r="M177">
        <f t="shared" si="7"/>
        <v>1159950</v>
      </c>
      <c r="N177">
        <v>500</v>
      </c>
      <c r="O177">
        <f>IF(N177="","",N177*Parameters!$B$2)</f>
        <v>160000</v>
      </c>
      <c r="P177">
        <f t="shared" si="8"/>
        <v>935950</v>
      </c>
    </row>
    <row r="178" spans="1:16">
      <c r="A178" t="s">
        <v>79</v>
      </c>
      <c r="B178" t="s">
        <v>210</v>
      </c>
      <c r="C178" t="s">
        <v>16</v>
      </c>
      <c r="D178" t="s">
        <v>16</v>
      </c>
      <c r="E178" t="s">
        <v>65</v>
      </c>
      <c r="F178">
        <v>3695000</v>
      </c>
      <c r="G178">
        <f>IF(F178="","",F178*Parameters!$B$1)</f>
        <v>775950</v>
      </c>
      <c r="H178">
        <v>1100</v>
      </c>
      <c r="I178">
        <f>IF(H178="","",H178*Parameters!$B$2)</f>
        <v>352000</v>
      </c>
      <c r="J178">
        <f t="shared" si="6"/>
        <v>1127950</v>
      </c>
      <c r="K178">
        <v>1200</v>
      </c>
      <c r="L178">
        <f>IF(K178="","",K178*Parameters!$B$2)</f>
        <v>384000</v>
      </c>
      <c r="M178">
        <f t="shared" si="7"/>
        <v>1159950</v>
      </c>
      <c r="N178">
        <v>500</v>
      </c>
      <c r="O178">
        <f>IF(N178="","",N178*Parameters!$B$2)</f>
        <v>160000</v>
      </c>
      <c r="P178">
        <f t="shared" si="8"/>
        <v>935950</v>
      </c>
    </row>
    <row r="179" spans="1:16">
      <c r="A179" t="s">
        <v>79</v>
      </c>
      <c r="B179" t="s">
        <v>210</v>
      </c>
      <c r="C179" t="s">
        <v>16</v>
      </c>
      <c r="D179" t="s">
        <v>16</v>
      </c>
      <c r="E179" t="s">
        <v>184</v>
      </c>
      <c r="F179">
        <v>3695000</v>
      </c>
      <c r="G179">
        <f>IF(F179="","",F179*Parameters!$B$1)</f>
        <v>775950</v>
      </c>
      <c r="H179">
        <v>1100</v>
      </c>
      <c r="I179">
        <f>IF(H179="","",H179*Parameters!$B$2)</f>
        <v>352000</v>
      </c>
      <c r="J179">
        <f t="shared" si="6"/>
        <v>1127950</v>
      </c>
      <c r="K179">
        <v>1200</v>
      </c>
      <c r="L179">
        <f>IF(K179="","",K179*Parameters!$B$2)</f>
        <v>384000</v>
      </c>
      <c r="M179">
        <f t="shared" si="7"/>
        <v>1159950</v>
      </c>
      <c r="N179">
        <v>500</v>
      </c>
      <c r="O179">
        <f>IF(N179="","",N179*Parameters!$B$2)</f>
        <v>160000</v>
      </c>
      <c r="P179">
        <f t="shared" si="8"/>
        <v>935950</v>
      </c>
    </row>
    <row r="180" spans="1:16">
      <c r="A180" t="s">
        <v>79</v>
      </c>
      <c r="B180" t="s">
        <v>211</v>
      </c>
      <c r="C180" t="s">
        <v>16</v>
      </c>
      <c r="D180" t="s">
        <v>16</v>
      </c>
      <c r="E180" t="s">
        <v>50</v>
      </c>
      <c r="F180">
        <v>3695000</v>
      </c>
      <c r="G180">
        <f>IF(F180="","",F180*Parameters!$B$1)</f>
        <v>775950</v>
      </c>
      <c r="H180">
        <v>1100</v>
      </c>
      <c r="I180">
        <f>IF(H180="","",H180*Parameters!$B$2)</f>
        <v>352000</v>
      </c>
      <c r="J180">
        <f t="shared" si="6"/>
        <v>1127950</v>
      </c>
      <c r="K180">
        <v>1200</v>
      </c>
      <c r="L180">
        <f>IF(K180="","",K180*Parameters!$B$2)</f>
        <v>384000</v>
      </c>
      <c r="M180">
        <f t="shared" si="7"/>
        <v>1159950</v>
      </c>
      <c r="N180">
        <v>500</v>
      </c>
      <c r="O180">
        <f>IF(N180="","",N180*Parameters!$B$2)</f>
        <v>160000</v>
      </c>
      <c r="P180">
        <f t="shared" si="8"/>
        <v>935950</v>
      </c>
    </row>
    <row r="181" spans="1:16">
      <c r="A181" t="s">
        <v>79</v>
      </c>
      <c r="B181" t="s">
        <v>211</v>
      </c>
      <c r="C181" t="s">
        <v>16</v>
      </c>
      <c r="D181" t="s">
        <v>16</v>
      </c>
      <c r="E181" t="s">
        <v>65</v>
      </c>
      <c r="F181">
        <v>3695000</v>
      </c>
      <c r="G181">
        <f>IF(F181="","",F181*Parameters!$B$1)</f>
        <v>775950</v>
      </c>
      <c r="H181">
        <v>1100</v>
      </c>
      <c r="I181">
        <f>IF(H181="","",H181*Parameters!$B$2)</f>
        <v>352000</v>
      </c>
      <c r="J181">
        <f t="shared" si="6"/>
        <v>1127950</v>
      </c>
      <c r="K181">
        <v>1200</v>
      </c>
      <c r="L181">
        <f>IF(K181="","",K181*Parameters!$B$2)</f>
        <v>384000</v>
      </c>
      <c r="M181">
        <f t="shared" si="7"/>
        <v>1159950</v>
      </c>
      <c r="N181">
        <v>500</v>
      </c>
      <c r="O181">
        <f>IF(N181="","",N181*Parameters!$B$2)</f>
        <v>160000</v>
      </c>
      <c r="P181">
        <f t="shared" si="8"/>
        <v>935950</v>
      </c>
    </row>
    <row r="182" spans="1:16">
      <c r="A182" t="s">
        <v>79</v>
      </c>
      <c r="B182" t="s">
        <v>211</v>
      </c>
      <c r="C182" t="s">
        <v>16</v>
      </c>
      <c r="D182" t="s">
        <v>16</v>
      </c>
      <c r="E182" t="s">
        <v>184</v>
      </c>
      <c r="F182">
        <v>3695000</v>
      </c>
      <c r="G182">
        <f>IF(F182="","",F182*Parameters!$B$1)</f>
        <v>775950</v>
      </c>
      <c r="H182">
        <v>1100</v>
      </c>
      <c r="I182">
        <f>IF(H182="","",H182*Parameters!$B$2)</f>
        <v>352000</v>
      </c>
      <c r="J182">
        <f t="shared" si="6"/>
        <v>1127950</v>
      </c>
      <c r="K182">
        <v>1200</v>
      </c>
      <c r="L182">
        <f>IF(K182="","",K182*Parameters!$B$2)</f>
        <v>384000</v>
      </c>
      <c r="M182">
        <f t="shared" si="7"/>
        <v>1159950</v>
      </c>
      <c r="N182">
        <v>500</v>
      </c>
      <c r="O182">
        <f>IF(N182="","",N182*Parameters!$B$2)</f>
        <v>160000</v>
      </c>
      <c r="P182">
        <f t="shared" si="8"/>
        <v>935950</v>
      </c>
    </row>
    <row r="183" spans="1:16">
      <c r="A183" t="s">
        <v>79</v>
      </c>
      <c r="B183" t="s">
        <v>212</v>
      </c>
      <c r="C183" t="s">
        <v>16</v>
      </c>
      <c r="D183" t="s">
        <v>16</v>
      </c>
      <c r="E183" t="s">
        <v>50</v>
      </c>
      <c r="F183">
        <v>3695000</v>
      </c>
      <c r="G183">
        <f>IF(F183="","",F183*Parameters!$B$1)</f>
        <v>775950</v>
      </c>
      <c r="H183">
        <v>1100</v>
      </c>
      <c r="I183">
        <f>IF(H183="","",H183*Parameters!$B$2)</f>
        <v>352000</v>
      </c>
      <c r="J183">
        <f t="shared" si="6"/>
        <v>1127950</v>
      </c>
      <c r="K183">
        <v>1200</v>
      </c>
      <c r="L183">
        <f>IF(K183="","",K183*Parameters!$B$2)</f>
        <v>384000</v>
      </c>
      <c r="M183">
        <f t="shared" si="7"/>
        <v>1159950</v>
      </c>
      <c r="N183">
        <v>500</v>
      </c>
      <c r="O183">
        <f>IF(N183="","",N183*Parameters!$B$2)</f>
        <v>160000</v>
      </c>
      <c r="P183">
        <f t="shared" si="8"/>
        <v>935950</v>
      </c>
    </row>
    <row r="184" spans="1:16">
      <c r="A184" t="s">
        <v>79</v>
      </c>
      <c r="B184" t="s">
        <v>212</v>
      </c>
      <c r="C184" t="s">
        <v>16</v>
      </c>
      <c r="D184" t="s">
        <v>16</v>
      </c>
      <c r="E184" t="s">
        <v>65</v>
      </c>
      <c r="F184">
        <v>3695000</v>
      </c>
      <c r="G184">
        <f>IF(F184="","",F184*Parameters!$B$1)</f>
        <v>775950</v>
      </c>
      <c r="H184">
        <v>1100</v>
      </c>
      <c r="I184">
        <f>IF(H184="","",H184*Parameters!$B$2)</f>
        <v>352000</v>
      </c>
      <c r="J184">
        <f t="shared" si="6"/>
        <v>1127950</v>
      </c>
      <c r="K184">
        <v>1200</v>
      </c>
      <c r="L184">
        <f>IF(K184="","",K184*Parameters!$B$2)</f>
        <v>384000</v>
      </c>
      <c r="M184">
        <f t="shared" si="7"/>
        <v>1159950</v>
      </c>
      <c r="N184">
        <v>500</v>
      </c>
      <c r="O184">
        <f>IF(N184="","",N184*Parameters!$B$2)</f>
        <v>160000</v>
      </c>
      <c r="P184">
        <f t="shared" si="8"/>
        <v>935950</v>
      </c>
    </row>
    <row r="185" spans="1:16">
      <c r="A185" t="s">
        <v>79</v>
      </c>
      <c r="B185" t="s">
        <v>213</v>
      </c>
      <c r="C185" t="s">
        <v>15</v>
      </c>
      <c r="D185" t="s">
        <v>16</v>
      </c>
      <c r="E185" t="s">
        <v>50</v>
      </c>
      <c r="F185">
        <v>3695000</v>
      </c>
      <c r="G185">
        <f>IF(F185="","",F185*Parameters!$B$1)</f>
        <v>775950</v>
      </c>
      <c r="H185">
        <v>1100</v>
      </c>
      <c r="I185">
        <f>IF(H185="","",H185*Parameters!$B$2)</f>
        <v>352000</v>
      </c>
      <c r="J185">
        <f t="shared" si="6"/>
        <v>1127950</v>
      </c>
      <c r="K185">
        <v>1200</v>
      </c>
      <c r="L185">
        <f>IF(K185="","",K185*Parameters!$B$2)</f>
        <v>384000</v>
      </c>
      <c r="M185">
        <f t="shared" si="7"/>
        <v>1159950</v>
      </c>
      <c r="N185">
        <v>500</v>
      </c>
      <c r="O185">
        <f>IF(N185="","",N185*Parameters!$B$2)</f>
        <v>160000</v>
      </c>
      <c r="P185">
        <f t="shared" si="8"/>
        <v>935950</v>
      </c>
    </row>
    <row r="186" spans="1:16">
      <c r="A186" t="s">
        <v>79</v>
      </c>
      <c r="B186" t="s">
        <v>213</v>
      </c>
      <c r="C186" t="s">
        <v>15</v>
      </c>
      <c r="D186" t="s">
        <v>16</v>
      </c>
      <c r="E186" t="s">
        <v>65</v>
      </c>
      <c r="F186">
        <v>3695000</v>
      </c>
      <c r="G186">
        <f>IF(F186="","",F186*Parameters!$B$1)</f>
        <v>775950</v>
      </c>
      <c r="H186">
        <v>1100</v>
      </c>
      <c r="I186">
        <f>IF(H186="","",H186*Parameters!$B$2)</f>
        <v>352000</v>
      </c>
      <c r="J186">
        <f t="shared" si="6"/>
        <v>1127950</v>
      </c>
      <c r="K186">
        <v>1200</v>
      </c>
      <c r="L186">
        <f>IF(K186="","",K186*Parameters!$B$2)</f>
        <v>384000</v>
      </c>
      <c r="M186">
        <f t="shared" si="7"/>
        <v>1159950</v>
      </c>
      <c r="N186">
        <v>500</v>
      </c>
      <c r="O186">
        <f>IF(N186="","",N186*Parameters!$B$2)</f>
        <v>160000</v>
      </c>
      <c r="P186">
        <f t="shared" si="8"/>
        <v>935950</v>
      </c>
    </row>
    <row r="187" spans="1:16">
      <c r="A187" t="s">
        <v>79</v>
      </c>
      <c r="B187" t="s">
        <v>213</v>
      </c>
      <c r="C187" t="s">
        <v>15</v>
      </c>
      <c r="D187" t="s">
        <v>16</v>
      </c>
      <c r="E187" t="s">
        <v>184</v>
      </c>
      <c r="F187">
        <v>3695000</v>
      </c>
      <c r="G187">
        <f>IF(F187="","",F187*Parameters!$B$1)</f>
        <v>775950</v>
      </c>
      <c r="H187">
        <v>1100</v>
      </c>
      <c r="I187">
        <f>IF(H187="","",H187*Parameters!$B$2)</f>
        <v>352000</v>
      </c>
      <c r="J187">
        <f t="shared" si="6"/>
        <v>1127950</v>
      </c>
      <c r="K187">
        <v>1200</v>
      </c>
      <c r="L187">
        <f>IF(K187="","",K187*Parameters!$B$2)</f>
        <v>384000</v>
      </c>
      <c r="M187">
        <f t="shared" si="7"/>
        <v>1159950</v>
      </c>
      <c r="N187">
        <v>500</v>
      </c>
      <c r="O187">
        <f>IF(N187="","",N187*Parameters!$B$2)</f>
        <v>160000</v>
      </c>
      <c r="P187">
        <f t="shared" si="8"/>
        <v>935950</v>
      </c>
    </row>
    <row r="188" spans="1:16">
      <c r="A188" t="s">
        <v>79</v>
      </c>
      <c r="B188" t="s">
        <v>214</v>
      </c>
      <c r="C188" t="s">
        <v>16</v>
      </c>
      <c r="D188" t="s">
        <v>16</v>
      </c>
      <c r="E188" t="s">
        <v>50</v>
      </c>
      <c r="F188">
        <v>3695000</v>
      </c>
      <c r="G188">
        <f>IF(F188="","",F188*Parameters!$B$1)</f>
        <v>775950</v>
      </c>
      <c r="H188">
        <v>1100</v>
      </c>
      <c r="I188">
        <f>IF(H188="","",H188*Parameters!$B$2)</f>
        <v>352000</v>
      </c>
      <c r="J188">
        <f t="shared" si="6"/>
        <v>1127950</v>
      </c>
      <c r="K188">
        <v>1200</v>
      </c>
      <c r="L188">
        <f>IF(K188="","",K188*Parameters!$B$2)</f>
        <v>384000</v>
      </c>
      <c r="M188">
        <f t="shared" si="7"/>
        <v>1159950</v>
      </c>
      <c r="N188">
        <v>500</v>
      </c>
      <c r="O188">
        <f>IF(N188="","",N188*Parameters!$B$2)</f>
        <v>160000</v>
      </c>
      <c r="P188">
        <f t="shared" si="8"/>
        <v>935950</v>
      </c>
    </row>
    <row r="189" spans="1:16">
      <c r="A189" t="s">
        <v>79</v>
      </c>
      <c r="B189" t="s">
        <v>214</v>
      </c>
      <c r="C189" t="s">
        <v>16</v>
      </c>
      <c r="D189" t="s">
        <v>16</v>
      </c>
      <c r="E189" t="s">
        <v>65</v>
      </c>
      <c r="F189">
        <v>3695000</v>
      </c>
      <c r="G189">
        <f>IF(F189="","",F189*Parameters!$B$1)</f>
        <v>775950</v>
      </c>
      <c r="H189">
        <v>1100</v>
      </c>
      <c r="I189">
        <f>IF(H189="","",H189*Parameters!$B$2)</f>
        <v>352000</v>
      </c>
      <c r="J189">
        <f t="shared" si="6"/>
        <v>1127950</v>
      </c>
      <c r="K189">
        <v>1200</v>
      </c>
      <c r="L189">
        <f>IF(K189="","",K189*Parameters!$B$2)</f>
        <v>384000</v>
      </c>
      <c r="M189">
        <f t="shared" si="7"/>
        <v>1159950</v>
      </c>
      <c r="N189">
        <v>500</v>
      </c>
      <c r="O189">
        <f>IF(N189="","",N189*Parameters!$B$2)</f>
        <v>160000</v>
      </c>
      <c r="P189">
        <f t="shared" si="8"/>
        <v>935950</v>
      </c>
    </row>
    <row r="190" spans="1:16">
      <c r="A190" t="s">
        <v>79</v>
      </c>
      <c r="B190" t="s">
        <v>214</v>
      </c>
      <c r="C190" t="s">
        <v>16</v>
      </c>
      <c r="D190" t="s">
        <v>16</v>
      </c>
      <c r="E190" t="s">
        <v>184</v>
      </c>
      <c r="F190">
        <v>3695000</v>
      </c>
      <c r="G190">
        <f>IF(F190="","",F190*Parameters!$B$1)</f>
        <v>775950</v>
      </c>
      <c r="H190">
        <v>1100</v>
      </c>
      <c r="I190">
        <f>IF(H190="","",H190*Parameters!$B$2)</f>
        <v>352000</v>
      </c>
      <c r="J190">
        <f t="shared" si="6"/>
        <v>1127950</v>
      </c>
      <c r="K190">
        <v>1200</v>
      </c>
      <c r="L190">
        <f>IF(K190="","",K190*Parameters!$B$2)</f>
        <v>384000</v>
      </c>
      <c r="M190">
        <f t="shared" si="7"/>
        <v>1159950</v>
      </c>
      <c r="N190">
        <v>500</v>
      </c>
      <c r="O190">
        <f>IF(N190="","",N190*Parameters!$B$2)</f>
        <v>160000</v>
      </c>
      <c r="P190">
        <f t="shared" si="8"/>
        <v>935950</v>
      </c>
    </row>
    <row r="191" spans="1:16">
      <c r="A191" t="s">
        <v>79</v>
      </c>
      <c r="B191" t="s">
        <v>215</v>
      </c>
      <c r="C191" t="s">
        <v>16</v>
      </c>
      <c r="D191" t="s">
        <v>16</v>
      </c>
      <c r="E191" t="s">
        <v>50</v>
      </c>
      <c r="F191">
        <v>3695000</v>
      </c>
      <c r="G191">
        <f>IF(F191="","",F191*Parameters!$B$1)</f>
        <v>775950</v>
      </c>
      <c r="H191">
        <v>1100</v>
      </c>
      <c r="I191">
        <f>IF(H191="","",H191*Parameters!$B$2)</f>
        <v>352000</v>
      </c>
      <c r="J191">
        <f t="shared" si="6"/>
        <v>1127950</v>
      </c>
      <c r="K191">
        <v>1200</v>
      </c>
      <c r="L191">
        <f>IF(K191="","",K191*Parameters!$B$2)</f>
        <v>384000</v>
      </c>
      <c r="M191">
        <f t="shared" si="7"/>
        <v>1159950</v>
      </c>
      <c r="N191">
        <v>500</v>
      </c>
      <c r="O191">
        <f>IF(N191="","",N191*Parameters!$B$2)</f>
        <v>160000</v>
      </c>
      <c r="P191">
        <f t="shared" si="8"/>
        <v>935950</v>
      </c>
    </row>
    <row r="192" spans="1:16">
      <c r="A192" t="s">
        <v>79</v>
      </c>
      <c r="B192" t="s">
        <v>215</v>
      </c>
      <c r="C192" t="s">
        <v>16</v>
      </c>
      <c r="D192" t="s">
        <v>16</v>
      </c>
      <c r="E192" t="s">
        <v>65</v>
      </c>
      <c r="F192">
        <v>3695000</v>
      </c>
      <c r="G192">
        <f>IF(F192="","",F192*Parameters!$B$1)</f>
        <v>775950</v>
      </c>
      <c r="H192">
        <v>1100</v>
      </c>
      <c r="I192">
        <f>IF(H192="","",H192*Parameters!$B$2)</f>
        <v>352000</v>
      </c>
      <c r="J192">
        <f t="shared" si="6"/>
        <v>1127950</v>
      </c>
      <c r="K192">
        <v>1200</v>
      </c>
      <c r="L192">
        <f>IF(K192="","",K192*Parameters!$B$2)</f>
        <v>384000</v>
      </c>
      <c r="M192">
        <f t="shared" si="7"/>
        <v>1159950</v>
      </c>
      <c r="N192">
        <v>500</v>
      </c>
      <c r="O192">
        <f>IF(N192="","",N192*Parameters!$B$2)</f>
        <v>160000</v>
      </c>
      <c r="P192">
        <f t="shared" si="8"/>
        <v>935950</v>
      </c>
    </row>
    <row r="193" spans="1:16">
      <c r="A193" t="s">
        <v>79</v>
      </c>
      <c r="B193" t="s">
        <v>215</v>
      </c>
      <c r="C193" t="s">
        <v>16</v>
      </c>
      <c r="D193" t="s">
        <v>16</v>
      </c>
      <c r="E193" t="s">
        <v>184</v>
      </c>
      <c r="F193">
        <v>3695000</v>
      </c>
      <c r="G193">
        <f>IF(F193="","",F193*Parameters!$B$1)</f>
        <v>775950</v>
      </c>
      <c r="H193">
        <v>1100</v>
      </c>
      <c r="I193">
        <f>IF(H193="","",H193*Parameters!$B$2)</f>
        <v>352000</v>
      </c>
      <c r="J193">
        <f t="shared" si="6"/>
        <v>1127950</v>
      </c>
      <c r="K193">
        <v>1200</v>
      </c>
      <c r="L193">
        <f>IF(K193="","",K193*Parameters!$B$2)</f>
        <v>384000</v>
      </c>
      <c r="M193">
        <f t="shared" si="7"/>
        <v>1159950</v>
      </c>
      <c r="N193">
        <v>500</v>
      </c>
      <c r="O193">
        <f>IF(N193="","",N193*Parameters!$B$2)</f>
        <v>160000</v>
      </c>
      <c r="P193">
        <f t="shared" si="8"/>
        <v>935950</v>
      </c>
    </row>
    <row r="194" spans="1:16">
      <c r="A194" t="s">
        <v>79</v>
      </c>
      <c r="B194" t="s">
        <v>216</v>
      </c>
      <c r="C194" t="s">
        <v>15</v>
      </c>
      <c r="D194" t="s">
        <v>16</v>
      </c>
      <c r="E194" t="s">
        <v>50</v>
      </c>
      <c r="F194">
        <v>3695000</v>
      </c>
      <c r="G194">
        <f>IF(F194="","",F194*Parameters!$B$1)</f>
        <v>775950</v>
      </c>
      <c r="H194">
        <v>1100</v>
      </c>
      <c r="I194">
        <f>IF(H194="","",H194*Parameters!$B$2)</f>
        <v>352000</v>
      </c>
      <c r="J194">
        <f t="shared" ref="J194:J257" si="9">IF(OR(G194="",I194=""),"",G194+I194)</f>
        <v>1127950</v>
      </c>
      <c r="K194">
        <v>1200</v>
      </c>
      <c r="L194">
        <f>IF(K194="","",K194*Parameters!$B$2)</f>
        <v>384000</v>
      </c>
      <c r="M194">
        <f t="shared" ref="M194:M257" si="10">IF(OR(G194="",L194=""),"",G194+L194)</f>
        <v>1159950</v>
      </c>
      <c r="N194">
        <v>500</v>
      </c>
      <c r="O194">
        <f>IF(N194="","",N194*Parameters!$B$2)</f>
        <v>160000</v>
      </c>
      <c r="P194">
        <f t="shared" ref="P194:P257" si="11">IF(OR(G194="",O194=""),"",G194+O194)</f>
        <v>935950</v>
      </c>
    </row>
    <row r="195" spans="1:16">
      <c r="A195" t="s">
        <v>79</v>
      </c>
      <c r="B195" t="s">
        <v>216</v>
      </c>
      <c r="C195" t="s">
        <v>15</v>
      </c>
      <c r="D195" t="s">
        <v>16</v>
      </c>
      <c r="E195" t="s">
        <v>65</v>
      </c>
      <c r="F195">
        <v>3695000</v>
      </c>
      <c r="G195">
        <f>IF(F195="","",F195*Parameters!$B$1)</f>
        <v>775950</v>
      </c>
      <c r="H195">
        <v>1100</v>
      </c>
      <c r="I195">
        <f>IF(H195="","",H195*Parameters!$B$2)</f>
        <v>352000</v>
      </c>
      <c r="J195">
        <f t="shared" si="9"/>
        <v>1127950</v>
      </c>
      <c r="K195">
        <v>1200</v>
      </c>
      <c r="L195">
        <f>IF(K195="","",K195*Parameters!$B$2)</f>
        <v>384000</v>
      </c>
      <c r="M195">
        <f t="shared" si="10"/>
        <v>1159950</v>
      </c>
      <c r="N195">
        <v>500</v>
      </c>
      <c r="O195">
        <f>IF(N195="","",N195*Parameters!$B$2)</f>
        <v>160000</v>
      </c>
      <c r="P195">
        <f t="shared" si="11"/>
        <v>935950</v>
      </c>
    </row>
    <row r="196" spans="1:16">
      <c r="A196" t="s">
        <v>79</v>
      </c>
      <c r="B196" t="s">
        <v>217</v>
      </c>
      <c r="C196" t="s">
        <v>16</v>
      </c>
      <c r="D196" t="s">
        <v>16</v>
      </c>
      <c r="E196" t="s">
        <v>50</v>
      </c>
      <c r="F196">
        <v>3695000</v>
      </c>
      <c r="G196">
        <f>IF(F196="","",F196*Parameters!$B$1)</f>
        <v>775950</v>
      </c>
      <c r="H196">
        <v>1100</v>
      </c>
      <c r="I196">
        <f>IF(H196="","",H196*Parameters!$B$2)</f>
        <v>352000</v>
      </c>
      <c r="J196">
        <f t="shared" si="9"/>
        <v>1127950</v>
      </c>
      <c r="K196">
        <v>1200</v>
      </c>
      <c r="L196">
        <f>IF(K196="","",K196*Parameters!$B$2)</f>
        <v>384000</v>
      </c>
      <c r="M196">
        <f t="shared" si="10"/>
        <v>1159950</v>
      </c>
      <c r="N196">
        <v>500</v>
      </c>
      <c r="O196">
        <f>IF(N196="","",N196*Parameters!$B$2)</f>
        <v>160000</v>
      </c>
      <c r="P196">
        <f t="shared" si="11"/>
        <v>935950</v>
      </c>
    </row>
    <row r="197" spans="1:16">
      <c r="A197" t="s">
        <v>79</v>
      </c>
      <c r="B197" t="s">
        <v>217</v>
      </c>
      <c r="C197" t="s">
        <v>16</v>
      </c>
      <c r="D197" t="s">
        <v>16</v>
      </c>
      <c r="E197" t="s">
        <v>65</v>
      </c>
      <c r="F197">
        <v>3695000</v>
      </c>
      <c r="G197">
        <f>IF(F197="","",F197*Parameters!$B$1)</f>
        <v>775950</v>
      </c>
      <c r="H197">
        <v>1100</v>
      </c>
      <c r="I197">
        <f>IF(H197="","",H197*Parameters!$B$2)</f>
        <v>352000</v>
      </c>
      <c r="J197">
        <f t="shared" si="9"/>
        <v>1127950</v>
      </c>
      <c r="K197">
        <v>1200</v>
      </c>
      <c r="L197">
        <f>IF(K197="","",K197*Parameters!$B$2)</f>
        <v>384000</v>
      </c>
      <c r="M197">
        <f t="shared" si="10"/>
        <v>1159950</v>
      </c>
      <c r="N197">
        <v>500</v>
      </c>
      <c r="O197">
        <f>IF(N197="","",N197*Parameters!$B$2)</f>
        <v>160000</v>
      </c>
      <c r="P197">
        <f t="shared" si="11"/>
        <v>935950</v>
      </c>
    </row>
    <row r="198" spans="1:16">
      <c r="A198" t="s">
        <v>79</v>
      </c>
      <c r="B198" t="s">
        <v>218</v>
      </c>
      <c r="C198" t="s">
        <v>16</v>
      </c>
      <c r="D198" t="s">
        <v>16</v>
      </c>
      <c r="E198" t="s">
        <v>50</v>
      </c>
      <c r="F198">
        <v>3695000</v>
      </c>
      <c r="G198">
        <f>IF(F198="","",F198*Parameters!$B$1)</f>
        <v>775950</v>
      </c>
      <c r="H198">
        <v>1100</v>
      </c>
      <c r="I198">
        <f>IF(H198="","",H198*Parameters!$B$2)</f>
        <v>352000</v>
      </c>
      <c r="J198">
        <f t="shared" si="9"/>
        <v>1127950</v>
      </c>
      <c r="K198">
        <v>1200</v>
      </c>
      <c r="L198">
        <f>IF(K198="","",K198*Parameters!$B$2)</f>
        <v>384000</v>
      </c>
      <c r="M198">
        <f t="shared" si="10"/>
        <v>1159950</v>
      </c>
      <c r="N198">
        <v>500</v>
      </c>
      <c r="O198">
        <f>IF(N198="","",N198*Parameters!$B$2)</f>
        <v>160000</v>
      </c>
      <c r="P198">
        <f t="shared" si="11"/>
        <v>935950</v>
      </c>
    </row>
    <row r="199" spans="1:16">
      <c r="A199" t="s">
        <v>79</v>
      </c>
      <c r="B199" t="s">
        <v>218</v>
      </c>
      <c r="C199" t="s">
        <v>16</v>
      </c>
      <c r="D199" t="s">
        <v>16</v>
      </c>
      <c r="E199" t="s">
        <v>65</v>
      </c>
      <c r="F199">
        <v>3695000</v>
      </c>
      <c r="G199">
        <f>IF(F199="","",F199*Parameters!$B$1)</f>
        <v>775950</v>
      </c>
      <c r="H199">
        <v>1100</v>
      </c>
      <c r="I199">
        <f>IF(H199="","",H199*Parameters!$B$2)</f>
        <v>352000</v>
      </c>
      <c r="J199">
        <f t="shared" si="9"/>
        <v>1127950</v>
      </c>
      <c r="K199">
        <v>1200</v>
      </c>
      <c r="L199">
        <f>IF(K199="","",K199*Parameters!$B$2)</f>
        <v>384000</v>
      </c>
      <c r="M199">
        <f t="shared" si="10"/>
        <v>1159950</v>
      </c>
      <c r="N199">
        <v>500</v>
      </c>
      <c r="O199">
        <f>IF(N199="","",N199*Parameters!$B$2)</f>
        <v>160000</v>
      </c>
      <c r="P199">
        <f t="shared" si="11"/>
        <v>935950</v>
      </c>
    </row>
    <row r="200" spans="1:16">
      <c r="A200" t="s">
        <v>79</v>
      </c>
      <c r="B200" t="s">
        <v>219</v>
      </c>
      <c r="C200" t="s">
        <v>16</v>
      </c>
      <c r="D200" t="s">
        <v>16</v>
      </c>
      <c r="E200" t="s">
        <v>50</v>
      </c>
      <c r="F200">
        <v>3695000</v>
      </c>
      <c r="G200">
        <f>IF(F200="","",F200*Parameters!$B$1)</f>
        <v>775950</v>
      </c>
      <c r="H200">
        <v>1100</v>
      </c>
      <c r="I200">
        <f>IF(H200="","",H200*Parameters!$B$2)</f>
        <v>352000</v>
      </c>
      <c r="J200">
        <f t="shared" si="9"/>
        <v>1127950</v>
      </c>
      <c r="K200">
        <v>1200</v>
      </c>
      <c r="L200">
        <f>IF(K200="","",K200*Parameters!$B$2)</f>
        <v>384000</v>
      </c>
      <c r="M200">
        <f t="shared" si="10"/>
        <v>1159950</v>
      </c>
      <c r="N200">
        <v>500</v>
      </c>
      <c r="O200">
        <f>IF(N200="","",N200*Parameters!$B$2)</f>
        <v>160000</v>
      </c>
      <c r="P200">
        <f t="shared" si="11"/>
        <v>935950</v>
      </c>
    </row>
    <row r="201" spans="1:16">
      <c r="A201" t="s">
        <v>79</v>
      </c>
      <c r="B201" t="s">
        <v>219</v>
      </c>
      <c r="C201" t="s">
        <v>16</v>
      </c>
      <c r="D201" t="s">
        <v>16</v>
      </c>
      <c r="E201" t="s">
        <v>65</v>
      </c>
      <c r="F201">
        <v>3695000</v>
      </c>
      <c r="G201">
        <f>IF(F201="","",F201*Parameters!$B$1)</f>
        <v>775950</v>
      </c>
      <c r="H201">
        <v>1100</v>
      </c>
      <c r="I201">
        <f>IF(H201="","",H201*Parameters!$B$2)</f>
        <v>352000</v>
      </c>
      <c r="J201">
        <f t="shared" si="9"/>
        <v>1127950</v>
      </c>
      <c r="K201">
        <v>1200</v>
      </c>
      <c r="L201">
        <f>IF(K201="","",K201*Parameters!$B$2)</f>
        <v>384000</v>
      </c>
      <c r="M201">
        <f t="shared" si="10"/>
        <v>1159950</v>
      </c>
      <c r="N201">
        <v>500</v>
      </c>
      <c r="O201">
        <f>IF(N201="","",N201*Parameters!$B$2)</f>
        <v>160000</v>
      </c>
      <c r="P201">
        <f t="shared" si="11"/>
        <v>935950</v>
      </c>
    </row>
    <row r="202" spans="1:16">
      <c r="A202" t="s">
        <v>79</v>
      </c>
      <c r="B202" t="s">
        <v>219</v>
      </c>
      <c r="C202" t="s">
        <v>16</v>
      </c>
      <c r="D202" t="s">
        <v>16</v>
      </c>
      <c r="E202" t="s">
        <v>184</v>
      </c>
      <c r="F202">
        <v>3695000</v>
      </c>
      <c r="G202">
        <f>IF(F202="","",F202*Parameters!$B$1)</f>
        <v>775950</v>
      </c>
      <c r="H202">
        <v>1100</v>
      </c>
      <c r="I202">
        <f>IF(H202="","",H202*Parameters!$B$2)</f>
        <v>352000</v>
      </c>
      <c r="J202">
        <f t="shared" si="9"/>
        <v>1127950</v>
      </c>
      <c r="K202">
        <v>1200</v>
      </c>
      <c r="L202">
        <f>IF(K202="","",K202*Parameters!$B$2)</f>
        <v>384000</v>
      </c>
      <c r="M202">
        <f t="shared" si="10"/>
        <v>1159950</v>
      </c>
      <c r="N202">
        <v>500</v>
      </c>
      <c r="O202">
        <f>IF(N202="","",N202*Parameters!$B$2)</f>
        <v>160000</v>
      </c>
      <c r="P202">
        <f t="shared" si="11"/>
        <v>935950</v>
      </c>
    </row>
    <row r="203" spans="1:16">
      <c r="A203" t="s">
        <v>79</v>
      </c>
      <c r="B203" t="s">
        <v>220</v>
      </c>
      <c r="C203" t="s">
        <v>16</v>
      </c>
      <c r="D203" t="s">
        <v>16</v>
      </c>
      <c r="E203" t="s">
        <v>50</v>
      </c>
      <c r="F203">
        <v>3695000</v>
      </c>
      <c r="G203">
        <f>IF(F203="","",F203*Parameters!$B$1)</f>
        <v>775950</v>
      </c>
      <c r="H203">
        <v>1100</v>
      </c>
      <c r="I203">
        <f>IF(H203="","",H203*Parameters!$B$2)</f>
        <v>352000</v>
      </c>
      <c r="J203">
        <f t="shared" si="9"/>
        <v>1127950</v>
      </c>
      <c r="K203">
        <v>1200</v>
      </c>
      <c r="L203">
        <f>IF(K203="","",K203*Parameters!$B$2)</f>
        <v>384000</v>
      </c>
      <c r="M203">
        <f t="shared" si="10"/>
        <v>1159950</v>
      </c>
      <c r="N203">
        <v>500</v>
      </c>
      <c r="O203">
        <f>IF(N203="","",N203*Parameters!$B$2)</f>
        <v>160000</v>
      </c>
      <c r="P203">
        <f t="shared" si="11"/>
        <v>935950</v>
      </c>
    </row>
    <row r="204" spans="1:16">
      <c r="A204" t="s">
        <v>79</v>
      </c>
      <c r="B204" t="s">
        <v>221</v>
      </c>
      <c r="C204" t="s">
        <v>15</v>
      </c>
      <c r="D204" t="s">
        <v>16</v>
      </c>
      <c r="E204" t="s">
        <v>50</v>
      </c>
      <c r="F204">
        <v>3695000</v>
      </c>
      <c r="G204">
        <f>IF(F204="","",F204*Parameters!$B$1)</f>
        <v>775950</v>
      </c>
      <c r="H204">
        <v>1100</v>
      </c>
      <c r="I204">
        <f>IF(H204="","",H204*Parameters!$B$2)</f>
        <v>352000</v>
      </c>
      <c r="J204">
        <f t="shared" si="9"/>
        <v>1127950</v>
      </c>
      <c r="K204">
        <v>1200</v>
      </c>
      <c r="L204">
        <f>IF(K204="","",K204*Parameters!$B$2)</f>
        <v>384000</v>
      </c>
      <c r="M204">
        <f t="shared" si="10"/>
        <v>1159950</v>
      </c>
      <c r="N204">
        <v>500</v>
      </c>
      <c r="O204">
        <f>IF(N204="","",N204*Parameters!$B$2)</f>
        <v>160000</v>
      </c>
      <c r="P204">
        <f t="shared" si="11"/>
        <v>935950</v>
      </c>
    </row>
    <row r="205" spans="1:16">
      <c r="A205" t="s">
        <v>79</v>
      </c>
      <c r="B205" t="s">
        <v>221</v>
      </c>
      <c r="C205" t="s">
        <v>15</v>
      </c>
      <c r="D205" t="s">
        <v>16</v>
      </c>
      <c r="E205" t="s">
        <v>65</v>
      </c>
      <c r="F205">
        <v>3695000</v>
      </c>
      <c r="G205">
        <f>IF(F205="","",F205*Parameters!$B$1)</f>
        <v>775950</v>
      </c>
      <c r="H205">
        <v>1100</v>
      </c>
      <c r="I205">
        <f>IF(H205="","",H205*Parameters!$B$2)</f>
        <v>352000</v>
      </c>
      <c r="J205">
        <f t="shared" si="9"/>
        <v>1127950</v>
      </c>
      <c r="K205">
        <v>1200</v>
      </c>
      <c r="L205">
        <f>IF(K205="","",K205*Parameters!$B$2)</f>
        <v>384000</v>
      </c>
      <c r="M205">
        <f t="shared" si="10"/>
        <v>1159950</v>
      </c>
      <c r="N205">
        <v>500</v>
      </c>
      <c r="O205">
        <f>IF(N205="","",N205*Parameters!$B$2)</f>
        <v>160000</v>
      </c>
      <c r="P205">
        <f t="shared" si="11"/>
        <v>935950</v>
      </c>
    </row>
    <row r="206" spans="1:16">
      <c r="A206" t="s">
        <v>79</v>
      </c>
      <c r="B206" t="s">
        <v>221</v>
      </c>
      <c r="C206" t="s">
        <v>15</v>
      </c>
      <c r="D206" t="s">
        <v>16</v>
      </c>
      <c r="E206" t="s">
        <v>184</v>
      </c>
      <c r="F206">
        <v>3695000</v>
      </c>
      <c r="G206">
        <f>IF(F206="","",F206*Parameters!$B$1)</f>
        <v>775950</v>
      </c>
      <c r="H206">
        <v>1100</v>
      </c>
      <c r="I206">
        <f>IF(H206="","",H206*Parameters!$B$2)</f>
        <v>352000</v>
      </c>
      <c r="J206">
        <f t="shared" si="9"/>
        <v>1127950</v>
      </c>
      <c r="K206">
        <v>1200</v>
      </c>
      <c r="L206">
        <f>IF(K206="","",K206*Parameters!$B$2)</f>
        <v>384000</v>
      </c>
      <c r="M206">
        <f t="shared" si="10"/>
        <v>1159950</v>
      </c>
      <c r="N206">
        <v>500</v>
      </c>
      <c r="O206">
        <f>IF(N206="","",N206*Parameters!$B$2)</f>
        <v>160000</v>
      </c>
      <c r="P206">
        <f t="shared" si="11"/>
        <v>935950</v>
      </c>
    </row>
    <row r="207" spans="1:16">
      <c r="A207" t="s">
        <v>79</v>
      </c>
      <c r="B207" t="s">
        <v>222</v>
      </c>
      <c r="C207" t="s">
        <v>16</v>
      </c>
      <c r="D207" t="s">
        <v>16</v>
      </c>
      <c r="E207" t="s">
        <v>50</v>
      </c>
      <c r="F207">
        <v>3695000</v>
      </c>
      <c r="G207">
        <f>IF(F207="","",F207*Parameters!$B$1)</f>
        <v>775950</v>
      </c>
      <c r="H207">
        <v>1100</v>
      </c>
      <c r="I207">
        <f>IF(H207="","",H207*Parameters!$B$2)</f>
        <v>352000</v>
      </c>
      <c r="J207">
        <f t="shared" si="9"/>
        <v>1127950</v>
      </c>
      <c r="K207">
        <v>1200</v>
      </c>
      <c r="L207">
        <f>IF(K207="","",K207*Parameters!$B$2)</f>
        <v>384000</v>
      </c>
      <c r="M207">
        <f t="shared" si="10"/>
        <v>1159950</v>
      </c>
      <c r="N207">
        <v>500</v>
      </c>
      <c r="O207">
        <f>IF(N207="","",N207*Parameters!$B$2)</f>
        <v>160000</v>
      </c>
      <c r="P207">
        <f t="shared" si="11"/>
        <v>935950</v>
      </c>
    </row>
    <row r="208" spans="1:16">
      <c r="A208" t="s">
        <v>79</v>
      </c>
      <c r="B208" t="s">
        <v>222</v>
      </c>
      <c r="C208" t="s">
        <v>16</v>
      </c>
      <c r="D208" t="s">
        <v>16</v>
      </c>
      <c r="E208" t="s">
        <v>65</v>
      </c>
      <c r="F208">
        <v>3695000</v>
      </c>
      <c r="G208">
        <f>IF(F208="","",F208*Parameters!$B$1)</f>
        <v>775950</v>
      </c>
      <c r="H208">
        <v>1100</v>
      </c>
      <c r="I208">
        <f>IF(H208="","",H208*Parameters!$B$2)</f>
        <v>352000</v>
      </c>
      <c r="J208">
        <f t="shared" si="9"/>
        <v>1127950</v>
      </c>
      <c r="K208">
        <v>1200</v>
      </c>
      <c r="L208">
        <f>IF(K208="","",K208*Parameters!$B$2)</f>
        <v>384000</v>
      </c>
      <c r="M208">
        <f t="shared" si="10"/>
        <v>1159950</v>
      </c>
      <c r="N208">
        <v>500</v>
      </c>
      <c r="O208">
        <f>IF(N208="","",N208*Parameters!$B$2)</f>
        <v>160000</v>
      </c>
      <c r="P208">
        <f t="shared" si="11"/>
        <v>935950</v>
      </c>
    </row>
    <row r="209" spans="1:16">
      <c r="A209" t="s">
        <v>79</v>
      </c>
      <c r="B209" t="s">
        <v>222</v>
      </c>
      <c r="C209" t="s">
        <v>16</v>
      </c>
      <c r="D209" t="s">
        <v>16</v>
      </c>
      <c r="E209" t="s">
        <v>184</v>
      </c>
      <c r="F209">
        <v>3695000</v>
      </c>
      <c r="G209">
        <f>IF(F209="","",F209*Parameters!$B$1)</f>
        <v>775950</v>
      </c>
      <c r="H209">
        <v>1100</v>
      </c>
      <c r="I209">
        <f>IF(H209="","",H209*Parameters!$B$2)</f>
        <v>352000</v>
      </c>
      <c r="J209">
        <f t="shared" si="9"/>
        <v>1127950</v>
      </c>
      <c r="K209">
        <v>1200</v>
      </c>
      <c r="L209">
        <f>IF(K209="","",K209*Parameters!$B$2)</f>
        <v>384000</v>
      </c>
      <c r="M209">
        <f t="shared" si="10"/>
        <v>1159950</v>
      </c>
      <c r="N209">
        <v>500</v>
      </c>
      <c r="O209">
        <f>IF(N209="","",N209*Parameters!$B$2)</f>
        <v>160000</v>
      </c>
      <c r="P209">
        <f t="shared" si="11"/>
        <v>935950</v>
      </c>
    </row>
    <row r="210" spans="1:16">
      <c r="A210" t="s">
        <v>79</v>
      </c>
      <c r="B210" t="s">
        <v>223</v>
      </c>
      <c r="C210" t="s">
        <v>15</v>
      </c>
      <c r="D210" t="s">
        <v>16</v>
      </c>
      <c r="E210" t="s">
        <v>65</v>
      </c>
      <c r="F210">
        <v>3695000</v>
      </c>
      <c r="G210">
        <f>IF(F210="","",F210*Parameters!$B$1)</f>
        <v>775950</v>
      </c>
      <c r="H210">
        <v>1100</v>
      </c>
      <c r="I210">
        <f>IF(H210="","",H210*Parameters!$B$2)</f>
        <v>352000</v>
      </c>
      <c r="J210">
        <f t="shared" si="9"/>
        <v>1127950</v>
      </c>
      <c r="K210">
        <v>1200</v>
      </c>
      <c r="L210">
        <f>IF(K210="","",K210*Parameters!$B$2)</f>
        <v>384000</v>
      </c>
      <c r="M210">
        <f t="shared" si="10"/>
        <v>1159950</v>
      </c>
      <c r="N210">
        <v>500</v>
      </c>
      <c r="O210">
        <f>IF(N210="","",N210*Parameters!$B$2)</f>
        <v>160000</v>
      </c>
      <c r="P210">
        <f t="shared" si="11"/>
        <v>935950</v>
      </c>
    </row>
    <row r="211" spans="1:16">
      <c r="A211" t="s">
        <v>79</v>
      </c>
      <c r="B211" t="s">
        <v>224</v>
      </c>
      <c r="C211" t="s">
        <v>16</v>
      </c>
      <c r="D211" t="s">
        <v>16</v>
      </c>
      <c r="E211" t="s">
        <v>50</v>
      </c>
      <c r="F211">
        <v>2910000</v>
      </c>
      <c r="G211">
        <f>IF(F211="","",F211*Parameters!$B$1)</f>
        <v>611100</v>
      </c>
      <c r="H211">
        <v>1100</v>
      </c>
      <c r="I211">
        <f>IF(H211="","",H211*Parameters!$B$2)</f>
        <v>352000</v>
      </c>
      <c r="J211">
        <f t="shared" si="9"/>
        <v>963100</v>
      </c>
      <c r="K211">
        <v>1200</v>
      </c>
      <c r="L211">
        <f>IF(K211="","",K211*Parameters!$B$2)</f>
        <v>384000</v>
      </c>
      <c r="M211">
        <f t="shared" si="10"/>
        <v>995100</v>
      </c>
      <c r="N211">
        <v>500</v>
      </c>
      <c r="O211">
        <f>IF(N211="","",N211*Parameters!$B$2)</f>
        <v>160000</v>
      </c>
      <c r="P211">
        <f t="shared" si="11"/>
        <v>771100</v>
      </c>
    </row>
    <row r="212" spans="1:16">
      <c r="A212" t="s">
        <v>79</v>
      </c>
      <c r="B212" t="s">
        <v>224</v>
      </c>
      <c r="C212" t="s">
        <v>16</v>
      </c>
      <c r="D212" t="s">
        <v>16</v>
      </c>
      <c r="E212" t="s">
        <v>65</v>
      </c>
      <c r="F212">
        <v>2910000</v>
      </c>
      <c r="G212">
        <f>IF(F212="","",F212*Parameters!$B$1)</f>
        <v>611100</v>
      </c>
      <c r="H212">
        <v>1100</v>
      </c>
      <c r="I212">
        <f>IF(H212="","",H212*Parameters!$B$2)</f>
        <v>352000</v>
      </c>
      <c r="J212">
        <f t="shared" si="9"/>
        <v>963100</v>
      </c>
      <c r="K212">
        <v>1200</v>
      </c>
      <c r="L212">
        <f>IF(K212="","",K212*Parameters!$B$2)</f>
        <v>384000</v>
      </c>
      <c r="M212">
        <f t="shared" si="10"/>
        <v>995100</v>
      </c>
      <c r="N212">
        <v>500</v>
      </c>
      <c r="O212">
        <f>IF(N212="","",N212*Parameters!$B$2)</f>
        <v>160000</v>
      </c>
      <c r="P212">
        <f t="shared" si="11"/>
        <v>771100</v>
      </c>
    </row>
    <row r="213" spans="1:16">
      <c r="A213" t="s">
        <v>79</v>
      </c>
      <c r="B213" t="s">
        <v>224</v>
      </c>
      <c r="C213" t="s">
        <v>16</v>
      </c>
      <c r="D213" t="s">
        <v>16</v>
      </c>
      <c r="E213" t="s">
        <v>184</v>
      </c>
      <c r="F213">
        <v>2910000</v>
      </c>
      <c r="G213">
        <f>IF(F213="","",F213*Parameters!$B$1)</f>
        <v>611100</v>
      </c>
      <c r="H213">
        <v>1100</v>
      </c>
      <c r="I213">
        <f>IF(H213="","",H213*Parameters!$B$2)</f>
        <v>352000</v>
      </c>
      <c r="J213">
        <f t="shared" si="9"/>
        <v>963100</v>
      </c>
      <c r="K213">
        <v>1200</v>
      </c>
      <c r="L213">
        <f>IF(K213="","",K213*Parameters!$B$2)</f>
        <v>384000</v>
      </c>
      <c r="M213">
        <f t="shared" si="10"/>
        <v>995100</v>
      </c>
      <c r="N213">
        <v>500</v>
      </c>
      <c r="O213">
        <f>IF(N213="","",N213*Parameters!$B$2)</f>
        <v>160000</v>
      </c>
      <c r="P213">
        <f t="shared" si="11"/>
        <v>771100</v>
      </c>
    </row>
    <row r="214" spans="1:16">
      <c r="A214" t="s">
        <v>79</v>
      </c>
      <c r="B214" t="s">
        <v>225</v>
      </c>
      <c r="C214" t="s">
        <v>16</v>
      </c>
      <c r="D214" t="s">
        <v>16</v>
      </c>
      <c r="E214" t="s">
        <v>50</v>
      </c>
      <c r="F214">
        <v>3695000</v>
      </c>
      <c r="G214">
        <f>IF(F214="","",F214*Parameters!$B$1)</f>
        <v>775950</v>
      </c>
      <c r="H214">
        <v>1100</v>
      </c>
      <c r="I214">
        <f>IF(H214="","",H214*Parameters!$B$2)</f>
        <v>352000</v>
      </c>
      <c r="J214">
        <f t="shared" si="9"/>
        <v>1127950</v>
      </c>
      <c r="K214">
        <v>1200</v>
      </c>
      <c r="L214">
        <f>IF(K214="","",K214*Parameters!$B$2)</f>
        <v>384000</v>
      </c>
      <c r="M214">
        <f t="shared" si="10"/>
        <v>1159950</v>
      </c>
      <c r="N214">
        <v>500</v>
      </c>
      <c r="O214">
        <f>IF(N214="","",N214*Parameters!$B$2)</f>
        <v>160000</v>
      </c>
      <c r="P214">
        <f t="shared" si="11"/>
        <v>935950</v>
      </c>
    </row>
    <row r="215" spans="1:16">
      <c r="A215" t="s">
        <v>79</v>
      </c>
      <c r="B215" t="s">
        <v>225</v>
      </c>
      <c r="C215" t="s">
        <v>16</v>
      </c>
      <c r="D215" t="s">
        <v>16</v>
      </c>
      <c r="E215" t="s">
        <v>65</v>
      </c>
      <c r="F215">
        <v>3695000</v>
      </c>
      <c r="G215">
        <f>IF(F215="","",F215*Parameters!$B$1)</f>
        <v>775950</v>
      </c>
      <c r="H215">
        <v>1100</v>
      </c>
      <c r="I215">
        <f>IF(H215="","",H215*Parameters!$B$2)</f>
        <v>352000</v>
      </c>
      <c r="J215">
        <f t="shared" si="9"/>
        <v>1127950</v>
      </c>
      <c r="K215">
        <v>1200</v>
      </c>
      <c r="L215">
        <f>IF(K215="","",K215*Parameters!$B$2)</f>
        <v>384000</v>
      </c>
      <c r="M215">
        <f t="shared" si="10"/>
        <v>1159950</v>
      </c>
      <c r="N215">
        <v>500</v>
      </c>
      <c r="O215">
        <f>IF(N215="","",N215*Parameters!$B$2)</f>
        <v>160000</v>
      </c>
      <c r="P215">
        <f t="shared" si="11"/>
        <v>935950</v>
      </c>
    </row>
    <row r="216" spans="1:16">
      <c r="A216" t="s">
        <v>79</v>
      </c>
      <c r="B216" t="s">
        <v>31</v>
      </c>
      <c r="C216" t="s">
        <v>15</v>
      </c>
      <c r="D216" t="s">
        <v>16</v>
      </c>
      <c r="E216" t="s">
        <v>50</v>
      </c>
      <c r="F216">
        <v>3695000</v>
      </c>
      <c r="G216">
        <f>IF(F216="","",F216*Parameters!$B$1)</f>
        <v>775950</v>
      </c>
      <c r="H216">
        <v>1100</v>
      </c>
      <c r="I216">
        <f>IF(H216="","",H216*Parameters!$B$2)</f>
        <v>352000</v>
      </c>
      <c r="J216">
        <f t="shared" si="9"/>
        <v>1127950</v>
      </c>
      <c r="K216">
        <v>1200</v>
      </c>
      <c r="L216">
        <f>IF(K216="","",K216*Parameters!$B$2)</f>
        <v>384000</v>
      </c>
      <c r="M216">
        <f t="shared" si="10"/>
        <v>1159950</v>
      </c>
      <c r="N216">
        <v>500</v>
      </c>
      <c r="O216">
        <f>IF(N216="","",N216*Parameters!$B$2)</f>
        <v>160000</v>
      </c>
      <c r="P216">
        <f t="shared" si="11"/>
        <v>935950</v>
      </c>
    </row>
    <row r="217" spans="1:16">
      <c r="A217" t="s">
        <v>79</v>
      </c>
      <c r="B217" t="s">
        <v>31</v>
      </c>
      <c r="C217" t="s">
        <v>15</v>
      </c>
      <c r="D217" t="s">
        <v>16</v>
      </c>
      <c r="E217" t="s">
        <v>65</v>
      </c>
      <c r="F217">
        <v>3695000</v>
      </c>
      <c r="G217">
        <f>IF(F217="","",F217*Parameters!$B$1)</f>
        <v>775950</v>
      </c>
      <c r="H217">
        <v>1100</v>
      </c>
      <c r="I217">
        <f>IF(H217="","",H217*Parameters!$B$2)</f>
        <v>352000</v>
      </c>
      <c r="J217">
        <f t="shared" si="9"/>
        <v>1127950</v>
      </c>
      <c r="K217">
        <v>1200</v>
      </c>
      <c r="L217">
        <f>IF(K217="","",K217*Parameters!$B$2)</f>
        <v>384000</v>
      </c>
      <c r="M217">
        <f t="shared" si="10"/>
        <v>1159950</v>
      </c>
      <c r="N217">
        <v>500</v>
      </c>
      <c r="O217">
        <f>IF(N217="","",N217*Parameters!$B$2)</f>
        <v>160000</v>
      </c>
      <c r="P217">
        <f t="shared" si="11"/>
        <v>935950</v>
      </c>
    </row>
    <row r="218" spans="1:16">
      <c r="A218" t="s">
        <v>79</v>
      </c>
      <c r="B218" t="s">
        <v>226</v>
      </c>
      <c r="C218" t="s">
        <v>16</v>
      </c>
      <c r="D218" t="s">
        <v>16</v>
      </c>
      <c r="E218" t="s">
        <v>50</v>
      </c>
      <c r="F218">
        <v>3695000</v>
      </c>
      <c r="G218">
        <f>IF(F218="","",F218*Parameters!$B$1)</f>
        <v>775950</v>
      </c>
      <c r="H218">
        <v>1100</v>
      </c>
      <c r="I218">
        <f>IF(H218="","",H218*Parameters!$B$2)</f>
        <v>352000</v>
      </c>
      <c r="J218">
        <f t="shared" si="9"/>
        <v>1127950</v>
      </c>
      <c r="K218">
        <v>1200</v>
      </c>
      <c r="L218">
        <f>IF(K218="","",K218*Parameters!$B$2)</f>
        <v>384000</v>
      </c>
      <c r="M218">
        <f t="shared" si="10"/>
        <v>1159950</v>
      </c>
      <c r="N218">
        <v>500</v>
      </c>
      <c r="O218">
        <f>IF(N218="","",N218*Parameters!$B$2)</f>
        <v>160000</v>
      </c>
      <c r="P218">
        <f t="shared" si="11"/>
        <v>935950</v>
      </c>
    </row>
    <row r="219" spans="1:16">
      <c r="A219" t="s">
        <v>79</v>
      </c>
      <c r="B219" t="s">
        <v>226</v>
      </c>
      <c r="C219" t="s">
        <v>16</v>
      </c>
      <c r="D219" t="s">
        <v>16</v>
      </c>
      <c r="E219" t="s">
        <v>65</v>
      </c>
      <c r="F219">
        <v>3695000</v>
      </c>
      <c r="G219">
        <f>IF(F219="","",F219*Parameters!$B$1)</f>
        <v>775950</v>
      </c>
      <c r="H219">
        <v>1100</v>
      </c>
      <c r="I219">
        <f>IF(H219="","",H219*Parameters!$B$2)</f>
        <v>352000</v>
      </c>
      <c r="J219">
        <f t="shared" si="9"/>
        <v>1127950</v>
      </c>
      <c r="K219">
        <v>1200</v>
      </c>
      <c r="L219">
        <f>IF(K219="","",K219*Parameters!$B$2)</f>
        <v>384000</v>
      </c>
      <c r="M219">
        <f t="shared" si="10"/>
        <v>1159950</v>
      </c>
      <c r="N219">
        <v>500</v>
      </c>
      <c r="O219">
        <f>IF(N219="","",N219*Parameters!$B$2)</f>
        <v>160000</v>
      </c>
      <c r="P219">
        <f t="shared" si="11"/>
        <v>935950</v>
      </c>
    </row>
    <row r="220" spans="1:16">
      <c r="A220" t="s">
        <v>79</v>
      </c>
      <c r="B220" t="s">
        <v>227</v>
      </c>
      <c r="C220" t="s">
        <v>16</v>
      </c>
      <c r="D220" t="s">
        <v>16</v>
      </c>
      <c r="E220" t="s">
        <v>50</v>
      </c>
      <c r="F220">
        <v>3695000</v>
      </c>
      <c r="G220">
        <f>IF(F220="","",F220*Parameters!$B$1)</f>
        <v>775950</v>
      </c>
      <c r="H220">
        <v>1100</v>
      </c>
      <c r="I220">
        <f>IF(H220="","",H220*Parameters!$B$2)</f>
        <v>352000</v>
      </c>
      <c r="J220">
        <f t="shared" si="9"/>
        <v>1127950</v>
      </c>
      <c r="K220">
        <v>1200</v>
      </c>
      <c r="L220">
        <f>IF(K220="","",K220*Parameters!$B$2)</f>
        <v>384000</v>
      </c>
      <c r="M220">
        <f t="shared" si="10"/>
        <v>1159950</v>
      </c>
      <c r="N220">
        <v>500</v>
      </c>
      <c r="O220">
        <f>IF(N220="","",N220*Parameters!$B$2)</f>
        <v>160000</v>
      </c>
      <c r="P220">
        <f t="shared" si="11"/>
        <v>935950</v>
      </c>
    </row>
    <row r="221" spans="1:16">
      <c r="A221" t="s">
        <v>79</v>
      </c>
      <c r="B221" t="s">
        <v>227</v>
      </c>
      <c r="C221" t="s">
        <v>16</v>
      </c>
      <c r="D221" t="s">
        <v>16</v>
      </c>
      <c r="E221" t="s">
        <v>65</v>
      </c>
      <c r="F221">
        <v>3695000</v>
      </c>
      <c r="G221">
        <f>IF(F221="","",F221*Parameters!$B$1)</f>
        <v>775950</v>
      </c>
      <c r="H221">
        <v>1100</v>
      </c>
      <c r="I221">
        <f>IF(H221="","",H221*Parameters!$B$2)</f>
        <v>352000</v>
      </c>
      <c r="J221">
        <f t="shared" si="9"/>
        <v>1127950</v>
      </c>
      <c r="K221">
        <v>1200</v>
      </c>
      <c r="L221">
        <f>IF(K221="","",K221*Parameters!$B$2)</f>
        <v>384000</v>
      </c>
      <c r="M221">
        <f t="shared" si="10"/>
        <v>1159950</v>
      </c>
      <c r="N221">
        <v>500</v>
      </c>
      <c r="O221">
        <f>IF(N221="","",N221*Parameters!$B$2)</f>
        <v>160000</v>
      </c>
      <c r="P221">
        <f t="shared" si="11"/>
        <v>935950</v>
      </c>
    </row>
    <row r="222" spans="1:16">
      <c r="A222" t="s">
        <v>79</v>
      </c>
      <c r="B222" t="s">
        <v>228</v>
      </c>
      <c r="C222" t="s">
        <v>16</v>
      </c>
      <c r="D222" t="s">
        <v>16</v>
      </c>
      <c r="E222" t="s">
        <v>50</v>
      </c>
      <c r="F222">
        <v>4320000</v>
      </c>
      <c r="G222">
        <f>IF(F222="","",F222*Parameters!$B$1)</f>
        <v>907200</v>
      </c>
      <c r="H222">
        <v>1100</v>
      </c>
      <c r="I222">
        <f>IF(H222="","",H222*Parameters!$B$2)</f>
        <v>352000</v>
      </c>
      <c r="J222">
        <f t="shared" si="9"/>
        <v>1259200</v>
      </c>
      <c r="K222">
        <v>1200</v>
      </c>
      <c r="L222">
        <f>IF(K222="","",K222*Parameters!$B$2)</f>
        <v>384000</v>
      </c>
      <c r="M222">
        <f t="shared" si="10"/>
        <v>1291200</v>
      </c>
      <c r="N222">
        <v>500</v>
      </c>
      <c r="O222">
        <f>IF(N222="","",N222*Parameters!$B$2)</f>
        <v>160000</v>
      </c>
      <c r="P222">
        <f t="shared" si="11"/>
        <v>1067200</v>
      </c>
    </row>
    <row r="223" spans="1:16">
      <c r="A223" t="s">
        <v>79</v>
      </c>
      <c r="B223" t="s">
        <v>228</v>
      </c>
      <c r="C223" t="s">
        <v>16</v>
      </c>
      <c r="D223" t="s">
        <v>16</v>
      </c>
      <c r="E223" t="s">
        <v>65</v>
      </c>
      <c r="F223">
        <v>4320000</v>
      </c>
      <c r="G223">
        <f>IF(F223="","",F223*Parameters!$B$1)</f>
        <v>907200</v>
      </c>
      <c r="H223">
        <v>1100</v>
      </c>
      <c r="I223">
        <f>IF(H223="","",H223*Parameters!$B$2)</f>
        <v>352000</v>
      </c>
      <c r="J223">
        <f t="shared" si="9"/>
        <v>1259200</v>
      </c>
      <c r="K223">
        <v>1200</v>
      </c>
      <c r="L223">
        <f>IF(K223="","",K223*Parameters!$B$2)</f>
        <v>384000</v>
      </c>
      <c r="M223">
        <f t="shared" si="10"/>
        <v>1291200</v>
      </c>
      <c r="N223">
        <v>500</v>
      </c>
      <c r="O223">
        <f>IF(N223="","",N223*Parameters!$B$2)</f>
        <v>160000</v>
      </c>
      <c r="P223">
        <f t="shared" si="11"/>
        <v>1067200</v>
      </c>
    </row>
    <row r="224" spans="1:16">
      <c r="A224" t="s">
        <v>79</v>
      </c>
      <c r="B224" t="s">
        <v>228</v>
      </c>
      <c r="C224" t="s">
        <v>16</v>
      </c>
      <c r="D224" t="s">
        <v>16</v>
      </c>
      <c r="E224" t="s">
        <v>184</v>
      </c>
      <c r="F224">
        <v>4320000</v>
      </c>
      <c r="G224">
        <f>IF(F224="","",F224*Parameters!$B$1)</f>
        <v>907200</v>
      </c>
      <c r="H224">
        <v>1100</v>
      </c>
      <c r="I224">
        <f>IF(H224="","",H224*Parameters!$B$2)</f>
        <v>352000</v>
      </c>
      <c r="J224">
        <f t="shared" si="9"/>
        <v>1259200</v>
      </c>
      <c r="K224">
        <v>1200</v>
      </c>
      <c r="L224">
        <f>IF(K224="","",K224*Parameters!$B$2)</f>
        <v>384000</v>
      </c>
      <c r="M224">
        <f t="shared" si="10"/>
        <v>1291200</v>
      </c>
      <c r="N224">
        <v>500</v>
      </c>
      <c r="O224">
        <f>IF(N224="","",N224*Parameters!$B$2)</f>
        <v>160000</v>
      </c>
      <c r="P224">
        <f t="shared" si="11"/>
        <v>1067200</v>
      </c>
    </row>
    <row r="225" spans="1:16">
      <c r="A225" t="s">
        <v>79</v>
      </c>
      <c r="B225" t="s">
        <v>229</v>
      </c>
      <c r="C225" t="s">
        <v>16</v>
      </c>
      <c r="D225" t="s">
        <v>16</v>
      </c>
      <c r="E225" t="s">
        <v>50</v>
      </c>
      <c r="F225">
        <v>3695000</v>
      </c>
      <c r="G225">
        <f>IF(F225="","",F225*Parameters!$B$1)</f>
        <v>775950</v>
      </c>
      <c r="H225">
        <v>1100</v>
      </c>
      <c r="I225">
        <f>IF(H225="","",H225*Parameters!$B$2)</f>
        <v>352000</v>
      </c>
      <c r="J225">
        <f t="shared" si="9"/>
        <v>1127950</v>
      </c>
      <c r="K225">
        <v>1200</v>
      </c>
      <c r="L225">
        <f>IF(K225="","",K225*Parameters!$B$2)</f>
        <v>384000</v>
      </c>
      <c r="M225">
        <f t="shared" si="10"/>
        <v>1159950</v>
      </c>
      <c r="N225">
        <v>500</v>
      </c>
      <c r="O225">
        <f>IF(N225="","",N225*Parameters!$B$2)</f>
        <v>160000</v>
      </c>
      <c r="P225">
        <f t="shared" si="11"/>
        <v>935950</v>
      </c>
    </row>
    <row r="226" spans="1:16">
      <c r="A226" t="s">
        <v>79</v>
      </c>
      <c r="B226" t="s">
        <v>229</v>
      </c>
      <c r="C226" t="s">
        <v>16</v>
      </c>
      <c r="D226" t="s">
        <v>16</v>
      </c>
      <c r="E226" t="s">
        <v>65</v>
      </c>
      <c r="F226">
        <v>3695000</v>
      </c>
      <c r="G226">
        <f>IF(F226="","",F226*Parameters!$B$1)</f>
        <v>775950</v>
      </c>
      <c r="H226">
        <v>1100</v>
      </c>
      <c r="I226">
        <f>IF(H226="","",H226*Parameters!$B$2)</f>
        <v>352000</v>
      </c>
      <c r="J226">
        <f t="shared" si="9"/>
        <v>1127950</v>
      </c>
      <c r="K226">
        <v>1200</v>
      </c>
      <c r="L226">
        <f>IF(K226="","",K226*Parameters!$B$2)</f>
        <v>384000</v>
      </c>
      <c r="M226">
        <f t="shared" si="10"/>
        <v>1159950</v>
      </c>
      <c r="N226">
        <v>500</v>
      </c>
      <c r="O226">
        <f>IF(N226="","",N226*Parameters!$B$2)</f>
        <v>160000</v>
      </c>
      <c r="P226">
        <f t="shared" si="11"/>
        <v>935950</v>
      </c>
    </row>
    <row r="227" spans="1:16">
      <c r="A227" t="s">
        <v>79</v>
      </c>
      <c r="B227" t="s">
        <v>229</v>
      </c>
      <c r="C227" t="s">
        <v>16</v>
      </c>
      <c r="D227" t="s">
        <v>16</v>
      </c>
      <c r="E227" t="s">
        <v>184</v>
      </c>
      <c r="F227">
        <v>3695000</v>
      </c>
      <c r="G227">
        <f>IF(F227="","",F227*Parameters!$B$1)</f>
        <v>775950</v>
      </c>
      <c r="H227">
        <v>1100</v>
      </c>
      <c r="I227">
        <f>IF(H227="","",H227*Parameters!$B$2)</f>
        <v>352000</v>
      </c>
      <c r="J227">
        <f t="shared" si="9"/>
        <v>1127950</v>
      </c>
      <c r="K227">
        <v>1200</v>
      </c>
      <c r="L227">
        <f>IF(K227="","",K227*Parameters!$B$2)</f>
        <v>384000</v>
      </c>
      <c r="M227">
        <f t="shared" si="10"/>
        <v>1159950</v>
      </c>
      <c r="N227">
        <v>500</v>
      </c>
      <c r="O227">
        <f>IF(N227="","",N227*Parameters!$B$2)</f>
        <v>160000</v>
      </c>
      <c r="P227">
        <f t="shared" si="11"/>
        <v>935950</v>
      </c>
    </row>
    <row r="228" spans="1:16">
      <c r="A228" t="s">
        <v>79</v>
      </c>
      <c r="B228" t="s">
        <v>29</v>
      </c>
      <c r="C228" t="s">
        <v>15</v>
      </c>
      <c r="D228" t="s">
        <v>16</v>
      </c>
      <c r="E228" t="s">
        <v>50</v>
      </c>
      <c r="F228">
        <v>3695000</v>
      </c>
      <c r="G228">
        <f>IF(F228="","",F228*Parameters!$B$1)</f>
        <v>775950</v>
      </c>
      <c r="H228">
        <v>1100</v>
      </c>
      <c r="I228">
        <f>IF(H228="","",H228*Parameters!$B$2)</f>
        <v>352000</v>
      </c>
      <c r="J228">
        <f t="shared" si="9"/>
        <v>1127950</v>
      </c>
      <c r="K228">
        <v>1200</v>
      </c>
      <c r="L228">
        <f>IF(K228="","",K228*Parameters!$B$2)</f>
        <v>384000</v>
      </c>
      <c r="M228">
        <f t="shared" si="10"/>
        <v>1159950</v>
      </c>
      <c r="N228">
        <v>500</v>
      </c>
      <c r="O228">
        <f>IF(N228="","",N228*Parameters!$B$2)</f>
        <v>160000</v>
      </c>
      <c r="P228">
        <f t="shared" si="11"/>
        <v>935950</v>
      </c>
    </row>
    <row r="229" spans="1:16">
      <c r="A229" t="s">
        <v>79</v>
      </c>
      <c r="B229" t="s">
        <v>230</v>
      </c>
      <c r="C229" t="s">
        <v>16</v>
      </c>
      <c r="D229" t="s">
        <v>16</v>
      </c>
      <c r="E229" t="s">
        <v>50</v>
      </c>
      <c r="F229">
        <v>3695000</v>
      </c>
      <c r="G229">
        <f>IF(F229="","",F229*Parameters!$B$1)</f>
        <v>775950</v>
      </c>
      <c r="H229">
        <v>1100</v>
      </c>
      <c r="I229">
        <f>IF(H229="","",H229*Parameters!$B$2)</f>
        <v>352000</v>
      </c>
      <c r="J229">
        <f t="shared" si="9"/>
        <v>1127950</v>
      </c>
      <c r="K229">
        <v>1200</v>
      </c>
      <c r="L229">
        <f>IF(K229="","",K229*Parameters!$B$2)</f>
        <v>384000</v>
      </c>
      <c r="M229">
        <f t="shared" si="10"/>
        <v>1159950</v>
      </c>
      <c r="N229">
        <v>500</v>
      </c>
      <c r="O229">
        <f>IF(N229="","",N229*Parameters!$B$2)</f>
        <v>160000</v>
      </c>
      <c r="P229">
        <f t="shared" si="11"/>
        <v>935950</v>
      </c>
    </row>
    <row r="230" spans="1:16">
      <c r="A230" t="s">
        <v>79</v>
      </c>
      <c r="B230" t="s">
        <v>230</v>
      </c>
      <c r="C230" t="s">
        <v>16</v>
      </c>
      <c r="D230" t="s">
        <v>16</v>
      </c>
      <c r="E230" t="s">
        <v>65</v>
      </c>
      <c r="F230">
        <v>3695000</v>
      </c>
      <c r="G230">
        <f>IF(F230="","",F230*Parameters!$B$1)</f>
        <v>775950</v>
      </c>
      <c r="H230">
        <v>1100</v>
      </c>
      <c r="I230">
        <f>IF(H230="","",H230*Parameters!$B$2)</f>
        <v>352000</v>
      </c>
      <c r="J230">
        <f t="shared" si="9"/>
        <v>1127950</v>
      </c>
      <c r="K230">
        <v>1200</v>
      </c>
      <c r="L230">
        <f>IF(K230="","",K230*Parameters!$B$2)</f>
        <v>384000</v>
      </c>
      <c r="M230">
        <f t="shared" si="10"/>
        <v>1159950</v>
      </c>
      <c r="N230">
        <v>500</v>
      </c>
      <c r="O230">
        <f>IF(N230="","",N230*Parameters!$B$2)</f>
        <v>160000</v>
      </c>
      <c r="P230">
        <f t="shared" si="11"/>
        <v>935950</v>
      </c>
    </row>
    <row r="231" spans="1:16">
      <c r="A231" t="s">
        <v>79</v>
      </c>
      <c r="B231" t="s">
        <v>231</v>
      </c>
      <c r="C231" t="s">
        <v>15</v>
      </c>
      <c r="D231" t="s">
        <v>16</v>
      </c>
      <c r="E231" t="s">
        <v>50</v>
      </c>
      <c r="F231">
        <v>3695000</v>
      </c>
      <c r="G231">
        <f>IF(F231="","",F231*Parameters!$B$1)</f>
        <v>775950</v>
      </c>
      <c r="H231">
        <v>1100</v>
      </c>
      <c r="I231">
        <f>IF(H231="","",H231*Parameters!$B$2)</f>
        <v>352000</v>
      </c>
      <c r="J231">
        <f t="shared" si="9"/>
        <v>1127950</v>
      </c>
      <c r="K231">
        <v>1200</v>
      </c>
      <c r="L231">
        <f>IF(K231="","",K231*Parameters!$B$2)</f>
        <v>384000</v>
      </c>
      <c r="M231">
        <f t="shared" si="10"/>
        <v>1159950</v>
      </c>
      <c r="N231">
        <v>500</v>
      </c>
      <c r="O231">
        <f>IF(N231="","",N231*Parameters!$B$2)</f>
        <v>160000</v>
      </c>
      <c r="P231">
        <f t="shared" si="11"/>
        <v>935950</v>
      </c>
    </row>
    <row r="232" spans="1:16">
      <c r="A232" t="s">
        <v>79</v>
      </c>
      <c r="B232" t="s">
        <v>231</v>
      </c>
      <c r="C232" t="s">
        <v>15</v>
      </c>
      <c r="D232" t="s">
        <v>16</v>
      </c>
      <c r="E232" t="s">
        <v>65</v>
      </c>
      <c r="F232">
        <v>3695000</v>
      </c>
      <c r="G232">
        <f>IF(F232="","",F232*Parameters!$B$1)</f>
        <v>775950</v>
      </c>
      <c r="H232">
        <v>1100</v>
      </c>
      <c r="I232">
        <f>IF(H232="","",H232*Parameters!$B$2)</f>
        <v>352000</v>
      </c>
      <c r="J232">
        <f t="shared" si="9"/>
        <v>1127950</v>
      </c>
      <c r="K232">
        <v>1200</v>
      </c>
      <c r="L232">
        <f>IF(K232="","",K232*Parameters!$B$2)</f>
        <v>384000</v>
      </c>
      <c r="M232">
        <f t="shared" si="10"/>
        <v>1159950</v>
      </c>
      <c r="N232">
        <v>500</v>
      </c>
      <c r="O232">
        <f>IF(N232="","",N232*Parameters!$B$2)</f>
        <v>160000</v>
      </c>
      <c r="P232">
        <f t="shared" si="11"/>
        <v>935950</v>
      </c>
    </row>
    <row r="233" spans="1:16">
      <c r="A233" t="s">
        <v>79</v>
      </c>
      <c r="B233" t="s">
        <v>232</v>
      </c>
      <c r="C233" t="s">
        <v>16</v>
      </c>
      <c r="D233" t="s">
        <v>16</v>
      </c>
      <c r="E233" t="s">
        <v>50</v>
      </c>
      <c r="F233">
        <v>3695000</v>
      </c>
      <c r="G233">
        <f>IF(F233="","",F233*Parameters!$B$1)</f>
        <v>775950</v>
      </c>
      <c r="H233">
        <v>1100</v>
      </c>
      <c r="I233">
        <f>IF(H233="","",H233*Parameters!$B$2)</f>
        <v>352000</v>
      </c>
      <c r="J233">
        <f t="shared" si="9"/>
        <v>1127950</v>
      </c>
      <c r="K233">
        <v>1200</v>
      </c>
      <c r="L233">
        <f>IF(K233="","",K233*Parameters!$B$2)</f>
        <v>384000</v>
      </c>
      <c r="M233">
        <f t="shared" si="10"/>
        <v>1159950</v>
      </c>
      <c r="N233">
        <v>500</v>
      </c>
      <c r="O233">
        <f>IF(N233="","",N233*Parameters!$B$2)</f>
        <v>160000</v>
      </c>
      <c r="P233">
        <f t="shared" si="11"/>
        <v>935950</v>
      </c>
    </row>
    <row r="234" spans="1:16">
      <c r="A234" t="s">
        <v>79</v>
      </c>
      <c r="B234" t="s">
        <v>232</v>
      </c>
      <c r="C234" t="s">
        <v>16</v>
      </c>
      <c r="D234" t="s">
        <v>16</v>
      </c>
      <c r="E234" t="s">
        <v>65</v>
      </c>
      <c r="F234">
        <v>3695000</v>
      </c>
      <c r="G234">
        <f>IF(F234="","",F234*Parameters!$B$1)</f>
        <v>775950</v>
      </c>
      <c r="H234">
        <v>1100</v>
      </c>
      <c r="I234">
        <f>IF(H234="","",H234*Parameters!$B$2)</f>
        <v>352000</v>
      </c>
      <c r="J234">
        <f t="shared" si="9"/>
        <v>1127950</v>
      </c>
      <c r="K234">
        <v>1200</v>
      </c>
      <c r="L234">
        <f>IF(K234="","",K234*Parameters!$B$2)</f>
        <v>384000</v>
      </c>
      <c r="M234">
        <f t="shared" si="10"/>
        <v>1159950</v>
      </c>
      <c r="N234">
        <v>500</v>
      </c>
      <c r="O234">
        <f>IF(N234="","",N234*Parameters!$B$2)</f>
        <v>160000</v>
      </c>
      <c r="P234">
        <f t="shared" si="11"/>
        <v>935950</v>
      </c>
    </row>
    <row r="235" spans="1:16">
      <c r="A235" t="s">
        <v>79</v>
      </c>
      <c r="B235" t="s">
        <v>232</v>
      </c>
      <c r="C235" t="s">
        <v>16</v>
      </c>
      <c r="D235" t="s">
        <v>16</v>
      </c>
      <c r="E235" t="s">
        <v>184</v>
      </c>
      <c r="F235">
        <v>3695000</v>
      </c>
      <c r="G235">
        <f>IF(F235="","",F235*Parameters!$B$1)</f>
        <v>775950</v>
      </c>
      <c r="H235">
        <v>1100</v>
      </c>
      <c r="I235">
        <f>IF(H235="","",H235*Parameters!$B$2)</f>
        <v>352000</v>
      </c>
      <c r="J235">
        <f t="shared" si="9"/>
        <v>1127950</v>
      </c>
      <c r="K235">
        <v>1200</v>
      </c>
      <c r="L235">
        <f>IF(K235="","",K235*Parameters!$B$2)</f>
        <v>384000</v>
      </c>
      <c r="M235">
        <f t="shared" si="10"/>
        <v>1159950</v>
      </c>
      <c r="N235">
        <v>500</v>
      </c>
      <c r="O235">
        <f>IF(N235="","",N235*Parameters!$B$2)</f>
        <v>160000</v>
      </c>
      <c r="P235">
        <f t="shared" si="11"/>
        <v>935950</v>
      </c>
    </row>
    <row r="236" spans="1:16">
      <c r="A236" t="s">
        <v>79</v>
      </c>
      <c r="B236" t="s">
        <v>233</v>
      </c>
      <c r="C236" t="s">
        <v>16</v>
      </c>
      <c r="D236" t="s">
        <v>16</v>
      </c>
      <c r="E236" t="s">
        <v>50</v>
      </c>
      <c r="F236">
        <v>3695000</v>
      </c>
      <c r="G236">
        <f>IF(F236="","",F236*Parameters!$B$1)</f>
        <v>775950</v>
      </c>
      <c r="H236">
        <v>1100</v>
      </c>
      <c r="I236">
        <f>IF(H236="","",H236*Parameters!$B$2)</f>
        <v>352000</v>
      </c>
      <c r="J236">
        <f t="shared" si="9"/>
        <v>1127950</v>
      </c>
      <c r="K236">
        <v>1200</v>
      </c>
      <c r="L236">
        <f>IF(K236="","",K236*Parameters!$B$2)</f>
        <v>384000</v>
      </c>
      <c r="M236">
        <f t="shared" si="10"/>
        <v>1159950</v>
      </c>
      <c r="N236">
        <v>500</v>
      </c>
      <c r="O236">
        <f>IF(N236="","",N236*Parameters!$B$2)</f>
        <v>160000</v>
      </c>
      <c r="P236">
        <f t="shared" si="11"/>
        <v>935950</v>
      </c>
    </row>
    <row r="237" spans="1:16">
      <c r="A237" t="s">
        <v>79</v>
      </c>
      <c r="B237" t="s">
        <v>233</v>
      </c>
      <c r="C237" t="s">
        <v>16</v>
      </c>
      <c r="D237" t="s">
        <v>16</v>
      </c>
      <c r="E237" t="s">
        <v>65</v>
      </c>
      <c r="F237">
        <v>3695000</v>
      </c>
      <c r="G237">
        <f>IF(F237="","",F237*Parameters!$B$1)</f>
        <v>775950</v>
      </c>
      <c r="H237">
        <v>1100</v>
      </c>
      <c r="I237">
        <f>IF(H237="","",H237*Parameters!$B$2)</f>
        <v>352000</v>
      </c>
      <c r="J237">
        <f t="shared" si="9"/>
        <v>1127950</v>
      </c>
      <c r="K237">
        <v>1200</v>
      </c>
      <c r="L237">
        <f>IF(K237="","",K237*Parameters!$B$2)</f>
        <v>384000</v>
      </c>
      <c r="M237">
        <f t="shared" si="10"/>
        <v>1159950</v>
      </c>
      <c r="N237">
        <v>500</v>
      </c>
      <c r="O237">
        <f>IF(N237="","",N237*Parameters!$B$2)</f>
        <v>160000</v>
      </c>
      <c r="P237">
        <f t="shared" si="11"/>
        <v>935950</v>
      </c>
    </row>
    <row r="238" spans="1:16">
      <c r="A238" t="s">
        <v>79</v>
      </c>
      <c r="B238" t="s">
        <v>233</v>
      </c>
      <c r="C238" t="s">
        <v>16</v>
      </c>
      <c r="D238" t="s">
        <v>16</v>
      </c>
      <c r="E238" t="s">
        <v>184</v>
      </c>
      <c r="F238">
        <v>3695000</v>
      </c>
      <c r="G238">
        <f>IF(F238="","",F238*Parameters!$B$1)</f>
        <v>775950</v>
      </c>
      <c r="H238">
        <v>1100</v>
      </c>
      <c r="I238">
        <f>IF(H238="","",H238*Parameters!$B$2)</f>
        <v>352000</v>
      </c>
      <c r="J238">
        <f t="shared" si="9"/>
        <v>1127950</v>
      </c>
      <c r="K238">
        <v>1200</v>
      </c>
      <c r="L238">
        <f>IF(K238="","",K238*Parameters!$B$2)</f>
        <v>384000</v>
      </c>
      <c r="M238">
        <f t="shared" si="10"/>
        <v>1159950</v>
      </c>
      <c r="N238">
        <v>500</v>
      </c>
      <c r="O238">
        <f>IF(N238="","",N238*Parameters!$B$2)</f>
        <v>160000</v>
      </c>
      <c r="P238">
        <f t="shared" si="11"/>
        <v>935950</v>
      </c>
    </row>
    <row r="239" spans="1:16">
      <c r="A239" t="s">
        <v>79</v>
      </c>
      <c r="B239" t="s">
        <v>234</v>
      </c>
      <c r="C239" t="s">
        <v>16</v>
      </c>
      <c r="D239" t="s">
        <v>16</v>
      </c>
      <c r="E239" t="s">
        <v>50</v>
      </c>
      <c r="F239">
        <v>3695000</v>
      </c>
      <c r="G239">
        <f>IF(F239="","",F239*Parameters!$B$1)</f>
        <v>775950</v>
      </c>
      <c r="H239">
        <v>1100</v>
      </c>
      <c r="I239">
        <f>IF(H239="","",H239*Parameters!$B$2)</f>
        <v>352000</v>
      </c>
      <c r="J239">
        <f t="shared" si="9"/>
        <v>1127950</v>
      </c>
      <c r="K239">
        <v>1200</v>
      </c>
      <c r="L239">
        <f>IF(K239="","",K239*Parameters!$B$2)</f>
        <v>384000</v>
      </c>
      <c r="M239">
        <f t="shared" si="10"/>
        <v>1159950</v>
      </c>
      <c r="N239">
        <v>500</v>
      </c>
      <c r="O239">
        <f>IF(N239="","",N239*Parameters!$B$2)</f>
        <v>160000</v>
      </c>
      <c r="P239">
        <f t="shared" si="11"/>
        <v>935950</v>
      </c>
    </row>
    <row r="240" spans="1:16">
      <c r="A240" t="s">
        <v>79</v>
      </c>
      <c r="B240" t="s">
        <v>234</v>
      </c>
      <c r="C240" t="s">
        <v>16</v>
      </c>
      <c r="D240" t="s">
        <v>16</v>
      </c>
      <c r="E240" t="s">
        <v>65</v>
      </c>
      <c r="F240">
        <v>3695000</v>
      </c>
      <c r="G240">
        <f>IF(F240="","",F240*Parameters!$B$1)</f>
        <v>775950</v>
      </c>
      <c r="H240">
        <v>1100</v>
      </c>
      <c r="I240">
        <f>IF(H240="","",H240*Parameters!$B$2)</f>
        <v>352000</v>
      </c>
      <c r="J240">
        <f t="shared" si="9"/>
        <v>1127950</v>
      </c>
      <c r="K240">
        <v>1200</v>
      </c>
      <c r="L240">
        <f>IF(K240="","",K240*Parameters!$B$2)</f>
        <v>384000</v>
      </c>
      <c r="M240">
        <f t="shared" si="10"/>
        <v>1159950</v>
      </c>
      <c r="N240">
        <v>500</v>
      </c>
      <c r="O240">
        <f>IF(N240="","",N240*Parameters!$B$2)</f>
        <v>160000</v>
      </c>
      <c r="P240">
        <f t="shared" si="11"/>
        <v>935950</v>
      </c>
    </row>
    <row r="241" spans="1:16">
      <c r="A241" t="s">
        <v>79</v>
      </c>
      <c r="B241" t="s">
        <v>234</v>
      </c>
      <c r="C241" t="s">
        <v>16</v>
      </c>
      <c r="D241" t="s">
        <v>16</v>
      </c>
      <c r="E241" t="s">
        <v>184</v>
      </c>
      <c r="F241">
        <v>3695000</v>
      </c>
      <c r="G241">
        <f>IF(F241="","",F241*Parameters!$B$1)</f>
        <v>775950</v>
      </c>
      <c r="H241">
        <v>1100</v>
      </c>
      <c r="I241">
        <f>IF(H241="","",H241*Parameters!$B$2)</f>
        <v>352000</v>
      </c>
      <c r="J241">
        <f t="shared" si="9"/>
        <v>1127950</v>
      </c>
      <c r="K241">
        <v>1200</v>
      </c>
      <c r="L241">
        <f>IF(K241="","",K241*Parameters!$B$2)</f>
        <v>384000</v>
      </c>
      <c r="M241">
        <f t="shared" si="10"/>
        <v>1159950</v>
      </c>
      <c r="N241">
        <v>500</v>
      </c>
      <c r="O241">
        <f>IF(N241="","",N241*Parameters!$B$2)</f>
        <v>160000</v>
      </c>
      <c r="P241">
        <f t="shared" si="11"/>
        <v>935950</v>
      </c>
    </row>
    <row r="242" spans="1:16">
      <c r="A242" t="s">
        <v>79</v>
      </c>
      <c r="B242" t="s">
        <v>235</v>
      </c>
      <c r="C242" t="s">
        <v>16</v>
      </c>
      <c r="D242" t="s">
        <v>16</v>
      </c>
      <c r="E242" t="s">
        <v>50</v>
      </c>
      <c r="F242">
        <v>3695000</v>
      </c>
      <c r="G242">
        <f>IF(F242="","",F242*Parameters!$B$1)</f>
        <v>775950</v>
      </c>
      <c r="H242">
        <v>1100</v>
      </c>
      <c r="I242">
        <f>IF(H242="","",H242*Parameters!$B$2)</f>
        <v>352000</v>
      </c>
      <c r="J242">
        <f t="shared" si="9"/>
        <v>1127950</v>
      </c>
      <c r="K242">
        <v>1200</v>
      </c>
      <c r="L242">
        <f>IF(K242="","",K242*Parameters!$B$2)</f>
        <v>384000</v>
      </c>
      <c r="M242">
        <f t="shared" si="10"/>
        <v>1159950</v>
      </c>
      <c r="N242">
        <v>500</v>
      </c>
      <c r="O242">
        <f>IF(N242="","",N242*Parameters!$B$2)</f>
        <v>160000</v>
      </c>
      <c r="P242">
        <f t="shared" si="11"/>
        <v>935950</v>
      </c>
    </row>
    <row r="243" spans="1:16">
      <c r="A243" t="s">
        <v>79</v>
      </c>
      <c r="B243" t="s">
        <v>235</v>
      </c>
      <c r="C243" t="s">
        <v>16</v>
      </c>
      <c r="D243" t="s">
        <v>16</v>
      </c>
      <c r="E243" t="s">
        <v>65</v>
      </c>
      <c r="F243">
        <v>3695000</v>
      </c>
      <c r="G243">
        <f>IF(F243="","",F243*Parameters!$B$1)</f>
        <v>775950</v>
      </c>
      <c r="H243">
        <v>1100</v>
      </c>
      <c r="I243">
        <f>IF(H243="","",H243*Parameters!$B$2)</f>
        <v>352000</v>
      </c>
      <c r="J243">
        <f t="shared" si="9"/>
        <v>1127950</v>
      </c>
      <c r="K243">
        <v>1200</v>
      </c>
      <c r="L243">
        <f>IF(K243="","",K243*Parameters!$B$2)</f>
        <v>384000</v>
      </c>
      <c r="M243">
        <f t="shared" si="10"/>
        <v>1159950</v>
      </c>
      <c r="N243">
        <v>500</v>
      </c>
      <c r="O243">
        <f>IF(N243="","",N243*Parameters!$B$2)</f>
        <v>160000</v>
      </c>
      <c r="P243">
        <f t="shared" si="11"/>
        <v>935950</v>
      </c>
    </row>
    <row r="244" spans="1:16">
      <c r="A244" t="s">
        <v>79</v>
      </c>
      <c r="B244" t="s">
        <v>235</v>
      </c>
      <c r="C244" t="s">
        <v>16</v>
      </c>
      <c r="D244" t="s">
        <v>16</v>
      </c>
      <c r="E244" t="s">
        <v>184</v>
      </c>
      <c r="F244">
        <v>3695000</v>
      </c>
      <c r="G244">
        <f>IF(F244="","",F244*Parameters!$B$1)</f>
        <v>775950</v>
      </c>
      <c r="H244">
        <v>1100</v>
      </c>
      <c r="I244">
        <f>IF(H244="","",H244*Parameters!$B$2)</f>
        <v>352000</v>
      </c>
      <c r="J244">
        <f t="shared" si="9"/>
        <v>1127950</v>
      </c>
      <c r="K244">
        <v>1200</v>
      </c>
      <c r="L244">
        <f>IF(K244="","",K244*Parameters!$B$2)</f>
        <v>384000</v>
      </c>
      <c r="M244">
        <f t="shared" si="10"/>
        <v>1159950</v>
      </c>
      <c r="N244">
        <v>500</v>
      </c>
      <c r="O244">
        <f>IF(N244="","",N244*Parameters!$B$2)</f>
        <v>160000</v>
      </c>
      <c r="P244">
        <f t="shared" si="11"/>
        <v>935950</v>
      </c>
    </row>
    <row r="245" spans="1:16">
      <c r="A245" t="s">
        <v>79</v>
      </c>
      <c r="B245" t="s">
        <v>236</v>
      </c>
      <c r="C245" t="s">
        <v>15</v>
      </c>
      <c r="D245" t="s">
        <v>16</v>
      </c>
      <c r="E245" t="s">
        <v>50</v>
      </c>
      <c r="F245">
        <v>3695000</v>
      </c>
      <c r="G245">
        <f>IF(F245="","",F245*Parameters!$B$1)</f>
        <v>775950</v>
      </c>
      <c r="H245">
        <v>1100</v>
      </c>
      <c r="I245">
        <f>IF(H245="","",H245*Parameters!$B$2)</f>
        <v>352000</v>
      </c>
      <c r="J245">
        <f t="shared" si="9"/>
        <v>1127950</v>
      </c>
      <c r="K245">
        <v>1200</v>
      </c>
      <c r="L245">
        <f>IF(K245="","",K245*Parameters!$B$2)</f>
        <v>384000</v>
      </c>
      <c r="M245">
        <f t="shared" si="10"/>
        <v>1159950</v>
      </c>
      <c r="N245">
        <v>500</v>
      </c>
      <c r="O245">
        <f>IF(N245="","",N245*Parameters!$B$2)</f>
        <v>160000</v>
      </c>
      <c r="P245">
        <f t="shared" si="11"/>
        <v>935950</v>
      </c>
    </row>
    <row r="246" spans="1:16">
      <c r="A246" t="s">
        <v>79</v>
      </c>
      <c r="B246" t="s">
        <v>236</v>
      </c>
      <c r="C246" t="s">
        <v>15</v>
      </c>
      <c r="D246" t="s">
        <v>16</v>
      </c>
      <c r="E246" t="s">
        <v>65</v>
      </c>
      <c r="F246">
        <v>3695000</v>
      </c>
      <c r="G246">
        <f>IF(F246="","",F246*Parameters!$B$1)</f>
        <v>775950</v>
      </c>
      <c r="H246">
        <v>1100</v>
      </c>
      <c r="I246">
        <f>IF(H246="","",H246*Parameters!$B$2)</f>
        <v>352000</v>
      </c>
      <c r="J246">
        <f t="shared" si="9"/>
        <v>1127950</v>
      </c>
      <c r="K246">
        <v>1200</v>
      </c>
      <c r="L246">
        <f>IF(K246="","",K246*Parameters!$B$2)</f>
        <v>384000</v>
      </c>
      <c r="M246">
        <f t="shared" si="10"/>
        <v>1159950</v>
      </c>
      <c r="N246">
        <v>500</v>
      </c>
      <c r="O246">
        <f>IF(N246="","",N246*Parameters!$B$2)</f>
        <v>160000</v>
      </c>
      <c r="P246">
        <f t="shared" si="11"/>
        <v>935950</v>
      </c>
    </row>
    <row r="247" spans="1:16">
      <c r="A247" t="s">
        <v>79</v>
      </c>
      <c r="B247" t="s">
        <v>236</v>
      </c>
      <c r="C247" t="s">
        <v>15</v>
      </c>
      <c r="D247" t="s">
        <v>16</v>
      </c>
      <c r="E247" t="s">
        <v>184</v>
      </c>
      <c r="F247">
        <v>3695000</v>
      </c>
      <c r="G247">
        <f>IF(F247="","",F247*Parameters!$B$1)</f>
        <v>775950</v>
      </c>
      <c r="H247">
        <v>1100</v>
      </c>
      <c r="I247">
        <f>IF(H247="","",H247*Parameters!$B$2)</f>
        <v>352000</v>
      </c>
      <c r="J247">
        <f t="shared" si="9"/>
        <v>1127950</v>
      </c>
      <c r="K247">
        <v>1200</v>
      </c>
      <c r="L247">
        <f>IF(K247="","",K247*Parameters!$B$2)</f>
        <v>384000</v>
      </c>
      <c r="M247">
        <f t="shared" si="10"/>
        <v>1159950</v>
      </c>
      <c r="N247">
        <v>500</v>
      </c>
      <c r="O247">
        <f>IF(N247="","",N247*Parameters!$B$2)</f>
        <v>160000</v>
      </c>
      <c r="P247">
        <f t="shared" si="11"/>
        <v>935950</v>
      </c>
    </row>
    <row r="248" spans="1:16">
      <c r="A248" t="s">
        <v>79</v>
      </c>
      <c r="B248" t="s">
        <v>237</v>
      </c>
      <c r="C248" t="s">
        <v>16</v>
      </c>
      <c r="D248" t="s">
        <v>16</v>
      </c>
      <c r="E248" t="s">
        <v>50</v>
      </c>
      <c r="F248">
        <v>3695000</v>
      </c>
      <c r="G248">
        <f>IF(F248="","",F248*Parameters!$B$1)</f>
        <v>775950</v>
      </c>
      <c r="H248">
        <v>1100</v>
      </c>
      <c r="I248">
        <f>IF(H248="","",H248*Parameters!$B$2)</f>
        <v>352000</v>
      </c>
      <c r="J248">
        <f t="shared" si="9"/>
        <v>1127950</v>
      </c>
      <c r="K248">
        <v>1200</v>
      </c>
      <c r="L248">
        <f>IF(K248="","",K248*Parameters!$B$2)</f>
        <v>384000</v>
      </c>
      <c r="M248">
        <f t="shared" si="10"/>
        <v>1159950</v>
      </c>
      <c r="N248">
        <v>500</v>
      </c>
      <c r="O248">
        <f>IF(N248="","",N248*Parameters!$B$2)</f>
        <v>160000</v>
      </c>
      <c r="P248">
        <f t="shared" si="11"/>
        <v>935950</v>
      </c>
    </row>
    <row r="249" spans="1:16">
      <c r="A249" t="s">
        <v>79</v>
      </c>
      <c r="B249" t="s">
        <v>237</v>
      </c>
      <c r="C249" t="s">
        <v>16</v>
      </c>
      <c r="D249" t="s">
        <v>16</v>
      </c>
      <c r="E249" t="s">
        <v>65</v>
      </c>
      <c r="F249">
        <v>3695000</v>
      </c>
      <c r="G249">
        <f>IF(F249="","",F249*Parameters!$B$1)</f>
        <v>775950</v>
      </c>
      <c r="H249">
        <v>1100</v>
      </c>
      <c r="I249">
        <f>IF(H249="","",H249*Parameters!$B$2)</f>
        <v>352000</v>
      </c>
      <c r="J249">
        <f t="shared" si="9"/>
        <v>1127950</v>
      </c>
      <c r="K249">
        <v>1200</v>
      </c>
      <c r="L249">
        <f>IF(K249="","",K249*Parameters!$B$2)</f>
        <v>384000</v>
      </c>
      <c r="M249">
        <f t="shared" si="10"/>
        <v>1159950</v>
      </c>
      <c r="N249">
        <v>500</v>
      </c>
      <c r="O249">
        <f>IF(N249="","",N249*Parameters!$B$2)</f>
        <v>160000</v>
      </c>
      <c r="P249">
        <f t="shared" si="11"/>
        <v>935950</v>
      </c>
    </row>
    <row r="250" spans="1:16">
      <c r="A250" t="s">
        <v>79</v>
      </c>
      <c r="B250" t="s">
        <v>237</v>
      </c>
      <c r="C250" t="s">
        <v>16</v>
      </c>
      <c r="D250" t="s">
        <v>16</v>
      </c>
      <c r="E250" t="s">
        <v>184</v>
      </c>
      <c r="F250">
        <v>3695000</v>
      </c>
      <c r="G250">
        <f>IF(F250="","",F250*Parameters!$B$1)</f>
        <v>775950</v>
      </c>
      <c r="H250">
        <v>1100</v>
      </c>
      <c r="I250">
        <f>IF(H250="","",H250*Parameters!$B$2)</f>
        <v>352000</v>
      </c>
      <c r="J250">
        <f t="shared" si="9"/>
        <v>1127950</v>
      </c>
      <c r="K250">
        <v>1200</v>
      </c>
      <c r="L250">
        <f>IF(K250="","",K250*Parameters!$B$2)</f>
        <v>384000</v>
      </c>
      <c r="M250">
        <f t="shared" si="10"/>
        <v>1159950</v>
      </c>
      <c r="N250">
        <v>500</v>
      </c>
      <c r="O250">
        <f>IF(N250="","",N250*Parameters!$B$2)</f>
        <v>160000</v>
      </c>
      <c r="P250">
        <f t="shared" si="11"/>
        <v>935950</v>
      </c>
    </row>
    <row r="251" spans="1:16">
      <c r="A251" t="s">
        <v>79</v>
      </c>
      <c r="B251" t="s">
        <v>238</v>
      </c>
      <c r="C251" t="s">
        <v>16</v>
      </c>
      <c r="D251" t="s">
        <v>16</v>
      </c>
      <c r="E251" t="s">
        <v>50</v>
      </c>
      <c r="F251">
        <v>4391500</v>
      </c>
      <c r="G251">
        <f>IF(F251="","",F251*Parameters!$B$1)</f>
        <v>922215</v>
      </c>
      <c r="H251">
        <v>1100</v>
      </c>
      <c r="I251">
        <f>IF(H251="","",H251*Parameters!$B$2)</f>
        <v>352000</v>
      </c>
      <c r="J251">
        <f t="shared" si="9"/>
        <v>1274215</v>
      </c>
      <c r="K251">
        <v>1200</v>
      </c>
      <c r="L251">
        <f>IF(K251="","",K251*Parameters!$B$2)</f>
        <v>384000</v>
      </c>
      <c r="M251">
        <f t="shared" si="10"/>
        <v>1306215</v>
      </c>
      <c r="N251">
        <v>500</v>
      </c>
      <c r="O251">
        <f>IF(N251="","",N251*Parameters!$B$2)</f>
        <v>160000</v>
      </c>
      <c r="P251">
        <f t="shared" si="11"/>
        <v>1082215</v>
      </c>
    </row>
    <row r="252" spans="1:16">
      <c r="A252" t="s">
        <v>79</v>
      </c>
      <c r="B252" t="s">
        <v>238</v>
      </c>
      <c r="C252" t="s">
        <v>16</v>
      </c>
      <c r="D252" t="s">
        <v>16</v>
      </c>
      <c r="E252" t="s">
        <v>65</v>
      </c>
      <c r="F252">
        <v>4391500</v>
      </c>
      <c r="G252">
        <f>IF(F252="","",F252*Parameters!$B$1)</f>
        <v>922215</v>
      </c>
      <c r="H252">
        <v>1100</v>
      </c>
      <c r="I252">
        <f>IF(H252="","",H252*Parameters!$B$2)</f>
        <v>352000</v>
      </c>
      <c r="J252">
        <f t="shared" si="9"/>
        <v>1274215</v>
      </c>
      <c r="K252">
        <v>1200</v>
      </c>
      <c r="L252">
        <f>IF(K252="","",K252*Parameters!$B$2)</f>
        <v>384000</v>
      </c>
      <c r="M252">
        <f t="shared" si="10"/>
        <v>1306215</v>
      </c>
      <c r="N252">
        <v>500</v>
      </c>
      <c r="O252">
        <f>IF(N252="","",N252*Parameters!$B$2)</f>
        <v>160000</v>
      </c>
      <c r="P252">
        <f t="shared" si="11"/>
        <v>1082215</v>
      </c>
    </row>
    <row r="253" spans="1:16">
      <c r="A253" t="s">
        <v>79</v>
      </c>
      <c r="B253" t="s">
        <v>238</v>
      </c>
      <c r="C253" t="s">
        <v>16</v>
      </c>
      <c r="D253" t="s">
        <v>16</v>
      </c>
      <c r="E253" t="s">
        <v>184</v>
      </c>
      <c r="F253">
        <v>4391500</v>
      </c>
      <c r="G253">
        <f>IF(F253="","",F253*Parameters!$B$1)</f>
        <v>922215</v>
      </c>
      <c r="H253">
        <v>1100</v>
      </c>
      <c r="I253">
        <f>IF(H253="","",H253*Parameters!$B$2)</f>
        <v>352000</v>
      </c>
      <c r="J253">
        <f t="shared" si="9"/>
        <v>1274215</v>
      </c>
      <c r="K253">
        <v>1200</v>
      </c>
      <c r="L253">
        <f>IF(K253="","",K253*Parameters!$B$2)</f>
        <v>384000</v>
      </c>
      <c r="M253">
        <f t="shared" si="10"/>
        <v>1306215</v>
      </c>
      <c r="N253">
        <v>500</v>
      </c>
      <c r="O253">
        <f>IF(N253="","",N253*Parameters!$B$2)</f>
        <v>160000</v>
      </c>
      <c r="P253">
        <f t="shared" si="11"/>
        <v>1082215</v>
      </c>
    </row>
    <row r="254" spans="1:16">
      <c r="A254" t="s">
        <v>79</v>
      </c>
      <c r="B254" t="s">
        <v>239</v>
      </c>
      <c r="C254" t="s">
        <v>16</v>
      </c>
      <c r="D254" t="s">
        <v>16</v>
      </c>
      <c r="E254" t="s">
        <v>50</v>
      </c>
      <c r="F254">
        <v>3695000</v>
      </c>
      <c r="G254">
        <f>IF(F254="","",F254*Parameters!$B$1)</f>
        <v>775950</v>
      </c>
      <c r="H254">
        <v>1100</v>
      </c>
      <c r="I254">
        <f>IF(H254="","",H254*Parameters!$B$2)</f>
        <v>352000</v>
      </c>
      <c r="J254">
        <f t="shared" si="9"/>
        <v>1127950</v>
      </c>
      <c r="K254">
        <v>1200</v>
      </c>
      <c r="L254">
        <f>IF(K254="","",K254*Parameters!$B$2)</f>
        <v>384000</v>
      </c>
      <c r="M254">
        <f t="shared" si="10"/>
        <v>1159950</v>
      </c>
      <c r="N254">
        <v>500</v>
      </c>
      <c r="O254">
        <f>IF(N254="","",N254*Parameters!$B$2)</f>
        <v>160000</v>
      </c>
      <c r="P254">
        <f t="shared" si="11"/>
        <v>935950</v>
      </c>
    </row>
    <row r="255" spans="1:16">
      <c r="A255" t="s">
        <v>79</v>
      </c>
      <c r="B255" t="s">
        <v>239</v>
      </c>
      <c r="C255" t="s">
        <v>16</v>
      </c>
      <c r="D255" t="s">
        <v>16</v>
      </c>
      <c r="E255" t="s">
        <v>65</v>
      </c>
      <c r="F255">
        <v>3695000</v>
      </c>
      <c r="G255">
        <f>IF(F255="","",F255*Parameters!$B$1)</f>
        <v>775950</v>
      </c>
      <c r="H255">
        <v>1100</v>
      </c>
      <c r="I255">
        <f>IF(H255="","",H255*Parameters!$B$2)</f>
        <v>352000</v>
      </c>
      <c r="J255">
        <f t="shared" si="9"/>
        <v>1127950</v>
      </c>
      <c r="K255">
        <v>1200</v>
      </c>
      <c r="L255">
        <f>IF(K255="","",K255*Parameters!$B$2)</f>
        <v>384000</v>
      </c>
      <c r="M255">
        <f t="shared" si="10"/>
        <v>1159950</v>
      </c>
      <c r="N255">
        <v>500</v>
      </c>
      <c r="O255">
        <f>IF(N255="","",N255*Parameters!$B$2)</f>
        <v>160000</v>
      </c>
      <c r="P255">
        <f t="shared" si="11"/>
        <v>935950</v>
      </c>
    </row>
    <row r="256" spans="1:16">
      <c r="A256" t="s">
        <v>79</v>
      </c>
      <c r="B256" t="s">
        <v>239</v>
      </c>
      <c r="C256" t="s">
        <v>16</v>
      </c>
      <c r="D256" t="s">
        <v>16</v>
      </c>
      <c r="E256" t="s">
        <v>184</v>
      </c>
      <c r="F256">
        <v>3695000</v>
      </c>
      <c r="G256">
        <f>IF(F256="","",F256*Parameters!$B$1)</f>
        <v>775950</v>
      </c>
      <c r="H256">
        <v>1100</v>
      </c>
      <c r="I256">
        <f>IF(H256="","",H256*Parameters!$B$2)</f>
        <v>352000</v>
      </c>
      <c r="J256">
        <f t="shared" si="9"/>
        <v>1127950</v>
      </c>
      <c r="K256">
        <v>1200</v>
      </c>
      <c r="L256">
        <f>IF(K256="","",K256*Parameters!$B$2)</f>
        <v>384000</v>
      </c>
      <c r="M256">
        <f t="shared" si="10"/>
        <v>1159950</v>
      </c>
      <c r="N256">
        <v>500</v>
      </c>
      <c r="O256">
        <f>IF(N256="","",N256*Parameters!$B$2)</f>
        <v>160000</v>
      </c>
      <c r="P256">
        <f t="shared" si="11"/>
        <v>935950</v>
      </c>
    </row>
    <row r="257" spans="1:16">
      <c r="A257" t="s">
        <v>79</v>
      </c>
      <c r="B257" t="s">
        <v>240</v>
      </c>
      <c r="C257" t="s">
        <v>16</v>
      </c>
      <c r="D257" t="s">
        <v>16</v>
      </c>
      <c r="E257" t="s">
        <v>50</v>
      </c>
      <c r="F257">
        <v>3695000</v>
      </c>
      <c r="G257">
        <f>IF(F257="","",F257*Parameters!$B$1)</f>
        <v>775950</v>
      </c>
      <c r="H257">
        <v>1100</v>
      </c>
      <c r="I257">
        <f>IF(H257="","",H257*Parameters!$B$2)</f>
        <v>352000</v>
      </c>
      <c r="J257">
        <f t="shared" si="9"/>
        <v>1127950</v>
      </c>
      <c r="K257">
        <v>1200</v>
      </c>
      <c r="L257">
        <f>IF(K257="","",K257*Parameters!$B$2)</f>
        <v>384000</v>
      </c>
      <c r="M257">
        <f t="shared" si="10"/>
        <v>1159950</v>
      </c>
      <c r="N257">
        <v>500</v>
      </c>
      <c r="O257">
        <f>IF(N257="","",N257*Parameters!$B$2)</f>
        <v>160000</v>
      </c>
      <c r="P257">
        <f t="shared" si="11"/>
        <v>935950</v>
      </c>
    </row>
    <row r="258" spans="1:16">
      <c r="A258" t="s">
        <v>79</v>
      </c>
      <c r="B258" t="s">
        <v>240</v>
      </c>
      <c r="C258" t="s">
        <v>16</v>
      </c>
      <c r="D258" t="s">
        <v>16</v>
      </c>
      <c r="E258" t="s">
        <v>65</v>
      </c>
      <c r="F258">
        <v>3695000</v>
      </c>
      <c r="G258">
        <f>IF(F258="","",F258*Parameters!$B$1)</f>
        <v>775950</v>
      </c>
      <c r="H258">
        <v>1100</v>
      </c>
      <c r="I258">
        <f>IF(H258="","",H258*Parameters!$B$2)</f>
        <v>352000</v>
      </c>
      <c r="J258">
        <f t="shared" ref="J258:J321" si="12">IF(OR(G258="",I258=""),"",G258+I258)</f>
        <v>1127950</v>
      </c>
      <c r="K258">
        <v>1200</v>
      </c>
      <c r="L258">
        <f>IF(K258="","",K258*Parameters!$B$2)</f>
        <v>384000</v>
      </c>
      <c r="M258">
        <f t="shared" ref="M258:M321" si="13">IF(OR(G258="",L258=""),"",G258+L258)</f>
        <v>1159950</v>
      </c>
      <c r="N258">
        <v>500</v>
      </c>
      <c r="O258">
        <f>IF(N258="","",N258*Parameters!$B$2)</f>
        <v>160000</v>
      </c>
      <c r="P258">
        <f t="shared" ref="P258:P321" si="14">IF(OR(G258="",O258=""),"",G258+O258)</f>
        <v>935950</v>
      </c>
    </row>
    <row r="259" spans="1:16">
      <c r="A259" t="s">
        <v>79</v>
      </c>
      <c r="B259" t="s">
        <v>240</v>
      </c>
      <c r="C259" t="s">
        <v>16</v>
      </c>
      <c r="D259" t="s">
        <v>16</v>
      </c>
      <c r="E259" t="s">
        <v>184</v>
      </c>
      <c r="F259">
        <v>3695000</v>
      </c>
      <c r="G259">
        <f>IF(F259="","",F259*Parameters!$B$1)</f>
        <v>775950</v>
      </c>
      <c r="H259">
        <v>1100</v>
      </c>
      <c r="I259">
        <f>IF(H259="","",H259*Parameters!$B$2)</f>
        <v>352000</v>
      </c>
      <c r="J259">
        <f t="shared" si="12"/>
        <v>1127950</v>
      </c>
      <c r="K259">
        <v>1200</v>
      </c>
      <c r="L259">
        <f>IF(K259="","",K259*Parameters!$B$2)</f>
        <v>384000</v>
      </c>
      <c r="M259">
        <f t="shared" si="13"/>
        <v>1159950</v>
      </c>
      <c r="N259">
        <v>500</v>
      </c>
      <c r="O259">
        <f>IF(N259="","",N259*Parameters!$B$2)</f>
        <v>160000</v>
      </c>
      <c r="P259">
        <f t="shared" si="14"/>
        <v>935950</v>
      </c>
    </row>
    <row r="260" spans="1:16">
      <c r="A260" t="s">
        <v>79</v>
      </c>
      <c r="B260" t="s">
        <v>241</v>
      </c>
      <c r="C260" t="s">
        <v>16</v>
      </c>
      <c r="D260" t="s">
        <v>16</v>
      </c>
      <c r="E260" t="s">
        <v>50</v>
      </c>
      <c r="F260">
        <v>3695000</v>
      </c>
      <c r="G260">
        <f>IF(F260="","",F260*Parameters!$B$1)</f>
        <v>775950</v>
      </c>
      <c r="H260">
        <v>1100</v>
      </c>
      <c r="I260">
        <f>IF(H260="","",H260*Parameters!$B$2)</f>
        <v>352000</v>
      </c>
      <c r="J260">
        <f t="shared" si="12"/>
        <v>1127950</v>
      </c>
      <c r="K260">
        <v>1200</v>
      </c>
      <c r="L260">
        <f>IF(K260="","",K260*Parameters!$B$2)</f>
        <v>384000</v>
      </c>
      <c r="M260">
        <f t="shared" si="13"/>
        <v>1159950</v>
      </c>
      <c r="N260">
        <v>500</v>
      </c>
      <c r="O260">
        <f>IF(N260="","",N260*Parameters!$B$2)</f>
        <v>160000</v>
      </c>
      <c r="P260">
        <f t="shared" si="14"/>
        <v>935950</v>
      </c>
    </row>
    <row r="261" spans="1:16">
      <c r="A261" t="s">
        <v>79</v>
      </c>
      <c r="B261" t="s">
        <v>241</v>
      </c>
      <c r="C261" t="s">
        <v>16</v>
      </c>
      <c r="D261" t="s">
        <v>16</v>
      </c>
      <c r="E261" t="s">
        <v>65</v>
      </c>
      <c r="F261">
        <v>3695000</v>
      </c>
      <c r="G261">
        <f>IF(F261="","",F261*Parameters!$B$1)</f>
        <v>775950</v>
      </c>
      <c r="H261">
        <v>1100</v>
      </c>
      <c r="I261">
        <f>IF(H261="","",H261*Parameters!$B$2)</f>
        <v>352000</v>
      </c>
      <c r="J261">
        <f t="shared" si="12"/>
        <v>1127950</v>
      </c>
      <c r="K261">
        <v>1200</v>
      </c>
      <c r="L261">
        <f>IF(K261="","",K261*Parameters!$B$2)</f>
        <v>384000</v>
      </c>
      <c r="M261">
        <f t="shared" si="13"/>
        <v>1159950</v>
      </c>
      <c r="N261">
        <v>500</v>
      </c>
      <c r="O261">
        <f>IF(N261="","",N261*Parameters!$B$2)</f>
        <v>160000</v>
      </c>
      <c r="P261">
        <f t="shared" si="14"/>
        <v>935950</v>
      </c>
    </row>
    <row r="262" spans="1:16">
      <c r="A262" t="s">
        <v>79</v>
      </c>
      <c r="B262" t="s">
        <v>241</v>
      </c>
      <c r="C262" t="s">
        <v>16</v>
      </c>
      <c r="D262" t="s">
        <v>16</v>
      </c>
      <c r="E262" t="s">
        <v>184</v>
      </c>
      <c r="F262">
        <v>3695000</v>
      </c>
      <c r="G262">
        <f>IF(F262="","",F262*Parameters!$B$1)</f>
        <v>775950</v>
      </c>
      <c r="H262">
        <v>1100</v>
      </c>
      <c r="I262">
        <f>IF(H262="","",H262*Parameters!$B$2)</f>
        <v>352000</v>
      </c>
      <c r="J262">
        <f t="shared" si="12"/>
        <v>1127950</v>
      </c>
      <c r="K262">
        <v>1200</v>
      </c>
      <c r="L262">
        <f>IF(K262="","",K262*Parameters!$B$2)</f>
        <v>384000</v>
      </c>
      <c r="M262">
        <f t="shared" si="13"/>
        <v>1159950</v>
      </c>
      <c r="N262">
        <v>500</v>
      </c>
      <c r="O262">
        <f>IF(N262="","",N262*Parameters!$B$2)</f>
        <v>160000</v>
      </c>
      <c r="P262">
        <f t="shared" si="14"/>
        <v>935950</v>
      </c>
    </row>
    <row r="263" spans="1:16">
      <c r="A263" t="s">
        <v>79</v>
      </c>
      <c r="B263" t="s">
        <v>242</v>
      </c>
      <c r="C263" t="s">
        <v>16</v>
      </c>
      <c r="D263" t="s">
        <v>16</v>
      </c>
      <c r="E263" t="s">
        <v>50</v>
      </c>
      <c r="F263">
        <v>3695000</v>
      </c>
      <c r="G263">
        <f>IF(F263="","",F263*Parameters!$B$1)</f>
        <v>775950</v>
      </c>
      <c r="H263">
        <v>1100</v>
      </c>
      <c r="I263">
        <f>IF(H263="","",H263*Parameters!$B$2)</f>
        <v>352000</v>
      </c>
      <c r="J263">
        <f t="shared" si="12"/>
        <v>1127950</v>
      </c>
      <c r="K263">
        <v>1200</v>
      </c>
      <c r="L263">
        <f>IF(K263="","",K263*Parameters!$B$2)</f>
        <v>384000</v>
      </c>
      <c r="M263">
        <f t="shared" si="13"/>
        <v>1159950</v>
      </c>
      <c r="N263">
        <v>500</v>
      </c>
      <c r="O263">
        <f>IF(N263="","",N263*Parameters!$B$2)</f>
        <v>160000</v>
      </c>
      <c r="P263">
        <f t="shared" si="14"/>
        <v>935950</v>
      </c>
    </row>
    <row r="264" spans="1:16">
      <c r="A264" t="s">
        <v>79</v>
      </c>
      <c r="B264" t="s">
        <v>242</v>
      </c>
      <c r="C264" t="s">
        <v>16</v>
      </c>
      <c r="D264" t="s">
        <v>16</v>
      </c>
      <c r="E264" t="s">
        <v>65</v>
      </c>
      <c r="F264">
        <v>3695000</v>
      </c>
      <c r="G264">
        <f>IF(F264="","",F264*Parameters!$B$1)</f>
        <v>775950</v>
      </c>
      <c r="H264">
        <v>1100</v>
      </c>
      <c r="I264">
        <f>IF(H264="","",H264*Parameters!$B$2)</f>
        <v>352000</v>
      </c>
      <c r="J264">
        <f t="shared" si="12"/>
        <v>1127950</v>
      </c>
      <c r="K264">
        <v>1200</v>
      </c>
      <c r="L264">
        <f>IF(K264="","",K264*Parameters!$B$2)</f>
        <v>384000</v>
      </c>
      <c r="M264">
        <f t="shared" si="13"/>
        <v>1159950</v>
      </c>
      <c r="N264">
        <v>500</v>
      </c>
      <c r="O264">
        <f>IF(N264="","",N264*Parameters!$B$2)</f>
        <v>160000</v>
      </c>
      <c r="P264">
        <f t="shared" si="14"/>
        <v>935950</v>
      </c>
    </row>
    <row r="265" spans="1:16">
      <c r="A265" t="s">
        <v>79</v>
      </c>
      <c r="B265" t="s">
        <v>243</v>
      </c>
      <c r="C265" t="s">
        <v>16</v>
      </c>
      <c r="D265" t="s">
        <v>16</v>
      </c>
      <c r="E265" t="s">
        <v>50</v>
      </c>
      <c r="F265">
        <v>5484000</v>
      </c>
      <c r="G265">
        <f>IF(F265="","",F265*Parameters!$B$1)</f>
        <v>1151640</v>
      </c>
      <c r="H265">
        <v>1100</v>
      </c>
      <c r="I265">
        <f>IF(H265="","",H265*Parameters!$B$2)</f>
        <v>352000</v>
      </c>
      <c r="J265">
        <f t="shared" si="12"/>
        <v>1503640</v>
      </c>
      <c r="K265">
        <v>1200</v>
      </c>
      <c r="L265">
        <f>IF(K265="","",K265*Parameters!$B$2)</f>
        <v>384000</v>
      </c>
      <c r="M265">
        <f t="shared" si="13"/>
        <v>1535640</v>
      </c>
      <c r="N265">
        <v>500</v>
      </c>
      <c r="O265">
        <f>IF(N265="","",N265*Parameters!$B$2)</f>
        <v>160000</v>
      </c>
      <c r="P265">
        <f t="shared" si="14"/>
        <v>1311640</v>
      </c>
    </row>
    <row r="266" spans="1:16">
      <c r="A266" t="s">
        <v>79</v>
      </c>
      <c r="B266" t="s">
        <v>243</v>
      </c>
      <c r="C266" t="s">
        <v>16</v>
      </c>
      <c r="D266" t="s">
        <v>16</v>
      </c>
      <c r="E266" t="s">
        <v>65</v>
      </c>
      <c r="F266">
        <v>5484000</v>
      </c>
      <c r="G266">
        <f>IF(F266="","",F266*Parameters!$B$1)</f>
        <v>1151640</v>
      </c>
      <c r="H266">
        <v>1100</v>
      </c>
      <c r="I266">
        <f>IF(H266="","",H266*Parameters!$B$2)</f>
        <v>352000</v>
      </c>
      <c r="J266">
        <f t="shared" si="12"/>
        <v>1503640</v>
      </c>
      <c r="K266">
        <v>1200</v>
      </c>
      <c r="L266">
        <f>IF(K266="","",K266*Parameters!$B$2)</f>
        <v>384000</v>
      </c>
      <c r="M266">
        <f t="shared" si="13"/>
        <v>1535640</v>
      </c>
      <c r="N266">
        <v>500</v>
      </c>
      <c r="O266">
        <f>IF(N266="","",N266*Parameters!$B$2)</f>
        <v>160000</v>
      </c>
      <c r="P266">
        <f t="shared" si="14"/>
        <v>1311640</v>
      </c>
    </row>
    <row r="267" spans="1:16">
      <c r="A267" t="s">
        <v>79</v>
      </c>
      <c r="B267" t="s">
        <v>243</v>
      </c>
      <c r="C267" t="s">
        <v>16</v>
      </c>
      <c r="D267" t="s">
        <v>16</v>
      </c>
      <c r="E267" t="s">
        <v>184</v>
      </c>
      <c r="F267">
        <v>5484000</v>
      </c>
      <c r="G267">
        <f>IF(F267="","",F267*Parameters!$B$1)</f>
        <v>1151640</v>
      </c>
      <c r="H267">
        <v>1100</v>
      </c>
      <c r="I267">
        <f>IF(H267="","",H267*Parameters!$B$2)</f>
        <v>352000</v>
      </c>
      <c r="J267">
        <f t="shared" si="12"/>
        <v>1503640</v>
      </c>
      <c r="K267">
        <v>1200</v>
      </c>
      <c r="L267">
        <f>IF(K267="","",K267*Parameters!$B$2)</f>
        <v>384000</v>
      </c>
      <c r="M267">
        <f t="shared" si="13"/>
        <v>1535640</v>
      </c>
      <c r="N267">
        <v>500</v>
      </c>
      <c r="O267">
        <f>IF(N267="","",N267*Parameters!$B$2)</f>
        <v>160000</v>
      </c>
      <c r="P267">
        <f t="shared" si="14"/>
        <v>1311640</v>
      </c>
    </row>
    <row r="268" spans="1:16">
      <c r="A268" t="s">
        <v>79</v>
      </c>
      <c r="B268" t="s">
        <v>244</v>
      </c>
      <c r="C268" t="s">
        <v>16</v>
      </c>
      <c r="D268" t="s">
        <v>16</v>
      </c>
      <c r="E268" t="s">
        <v>50</v>
      </c>
      <c r="F268">
        <v>5484000</v>
      </c>
      <c r="G268">
        <f>IF(F268="","",F268*Parameters!$B$1)</f>
        <v>1151640</v>
      </c>
      <c r="H268">
        <v>1100</v>
      </c>
      <c r="I268">
        <f>IF(H268="","",H268*Parameters!$B$2)</f>
        <v>352000</v>
      </c>
      <c r="J268">
        <f t="shared" si="12"/>
        <v>1503640</v>
      </c>
      <c r="K268">
        <v>1200</v>
      </c>
      <c r="L268">
        <f>IF(K268="","",K268*Parameters!$B$2)</f>
        <v>384000</v>
      </c>
      <c r="M268">
        <f t="shared" si="13"/>
        <v>1535640</v>
      </c>
      <c r="N268">
        <v>500</v>
      </c>
      <c r="O268">
        <f>IF(N268="","",N268*Parameters!$B$2)</f>
        <v>160000</v>
      </c>
      <c r="P268">
        <f t="shared" si="14"/>
        <v>1311640</v>
      </c>
    </row>
    <row r="269" spans="1:16">
      <c r="A269" t="s">
        <v>79</v>
      </c>
      <c r="B269" t="s">
        <v>244</v>
      </c>
      <c r="C269" t="s">
        <v>16</v>
      </c>
      <c r="D269" t="s">
        <v>16</v>
      </c>
      <c r="E269" t="s">
        <v>65</v>
      </c>
      <c r="F269">
        <v>5484000</v>
      </c>
      <c r="G269">
        <f>IF(F269="","",F269*Parameters!$B$1)</f>
        <v>1151640</v>
      </c>
      <c r="H269">
        <v>1100</v>
      </c>
      <c r="I269">
        <f>IF(H269="","",H269*Parameters!$B$2)</f>
        <v>352000</v>
      </c>
      <c r="J269">
        <f t="shared" si="12"/>
        <v>1503640</v>
      </c>
      <c r="K269">
        <v>1200</v>
      </c>
      <c r="L269">
        <f>IF(K269="","",K269*Parameters!$B$2)</f>
        <v>384000</v>
      </c>
      <c r="M269">
        <f t="shared" si="13"/>
        <v>1535640</v>
      </c>
      <c r="N269">
        <v>500</v>
      </c>
      <c r="O269">
        <f>IF(N269="","",N269*Parameters!$B$2)</f>
        <v>160000</v>
      </c>
      <c r="P269">
        <f t="shared" si="14"/>
        <v>1311640</v>
      </c>
    </row>
    <row r="270" spans="1:16">
      <c r="A270" t="s">
        <v>79</v>
      </c>
      <c r="B270" t="s">
        <v>244</v>
      </c>
      <c r="C270" t="s">
        <v>16</v>
      </c>
      <c r="D270" t="s">
        <v>16</v>
      </c>
      <c r="E270" t="s">
        <v>184</v>
      </c>
      <c r="F270">
        <v>5484000</v>
      </c>
      <c r="G270">
        <f>IF(F270="","",F270*Parameters!$B$1)</f>
        <v>1151640</v>
      </c>
      <c r="H270">
        <v>1100</v>
      </c>
      <c r="I270">
        <f>IF(H270="","",H270*Parameters!$B$2)</f>
        <v>352000</v>
      </c>
      <c r="J270">
        <f t="shared" si="12"/>
        <v>1503640</v>
      </c>
      <c r="K270">
        <v>1200</v>
      </c>
      <c r="L270">
        <f>IF(K270="","",K270*Parameters!$B$2)</f>
        <v>384000</v>
      </c>
      <c r="M270">
        <f t="shared" si="13"/>
        <v>1535640</v>
      </c>
      <c r="N270">
        <v>500</v>
      </c>
      <c r="O270">
        <f>IF(N270="","",N270*Parameters!$B$2)</f>
        <v>160000</v>
      </c>
      <c r="P270">
        <f t="shared" si="14"/>
        <v>1311640</v>
      </c>
    </row>
    <row r="271" spans="1:16">
      <c r="A271" t="s">
        <v>79</v>
      </c>
      <c r="B271" t="s">
        <v>245</v>
      </c>
      <c r="C271" t="s">
        <v>16</v>
      </c>
      <c r="D271" t="s">
        <v>16</v>
      </c>
      <c r="E271" t="s">
        <v>50</v>
      </c>
      <c r="F271">
        <v>5484000</v>
      </c>
      <c r="G271">
        <f>IF(F271="","",F271*Parameters!$B$1)</f>
        <v>1151640</v>
      </c>
      <c r="H271">
        <v>1100</v>
      </c>
      <c r="I271">
        <f>IF(H271="","",H271*Parameters!$B$2)</f>
        <v>352000</v>
      </c>
      <c r="J271">
        <f t="shared" si="12"/>
        <v>1503640</v>
      </c>
      <c r="K271">
        <v>1200</v>
      </c>
      <c r="L271">
        <f>IF(K271="","",K271*Parameters!$B$2)</f>
        <v>384000</v>
      </c>
      <c r="M271">
        <f t="shared" si="13"/>
        <v>1535640</v>
      </c>
      <c r="N271">
        <v>500</v>
      </c>
      <c r="O271">
        <f>IF(N271="","",N271*Parameters!$B$2)</f>
        <v>160000</v>
      </c>
      <c r="P271">
        <f t="shared" si="14"/>
        <v>1311640</v>
      </c>
    </row>
    <row r="272" spans="1:16">
      <c r="A272" t="s">
        <v>79</v>
      </c>
      <c r="B272" t="s">
        <v>245</v>
      </c>
      <c r="C272" t="s">
        <v>16</v>
      </c>
      <c r="D272" t="s">
        <v>16</v>
      </c>
      <c r="E272" t="s">
        <v>65</v>
      </c>
      <c r="F272">
        <v>5484000</v>
      </c>
      <c r="G272">
        <f>IF(F272="","",F272*Parameters!$B$1)</f>
        <v>1151640</v>
      </c>
      <c r="H272">
        <v>1100</v>
      </c>
      <c r="I272">
        <f>IF(H272="","",H272*Parameters!$B$2)</f>
        <v>352000</v>
      </c>
      <c r="J272">
        <f t="shared" si="12"/>
        <v>1503640</v>
      </c>
      <c r="K272">
        <v>1200</v>
      </c>
      <c r="L272">
        <f>IF(K272="","",K272*Parameters!$B$2)</f>
        <v>384000</v>
      </c>
      <c r="M272">
        <f t="shared" si="13"/>
        <v>1535640</v>
      </c>
      <c r="N272">
        <v>500</v>
      </c>
      <c r="O272">
        <f>IF(N272="","",N272*Parameters!$B$2)</f>
        <v>160000</v>
      </c>
      <c r="P272">
        <f t="shared" si="14"/>
        <v>1311640</v>
      </c>
    </row>
    <row r="273" spans="1:16">
      <c r="A273" t="s">
        <v>79</v>
      </c>
      <c r="B273" t="s">
        <v>245</v>
      </c>
      <c r="C273" t="s">
        <v>16</v>
      </c>
      <c r="D273" t="s">
        <v>16</v>
      </c>
      <c r="E273" t="s">
        <v>184</v>
      </c>
      <c r="F273">
        <v>5484000</v>
      </c>
      <c r="G273">
        <f>IF(F273="","",F273*Parameters!$B$1)</f>
        <v>1151640</v>
      </c>
      <c r="H273">
        <v>1100</v>
      </c>
      <c r="I273">
        <f>IF(H273="","",H273*Parameters!$B$2)</f>
        <v>352000</v>
      </c>
      <c r="J273">
        <f t="shared" si="12"/>
        <v>1503640</v>
      </c>
      <c r="K273">
        <v>1200</v>
      </c>
      <c r="L273">
        <f>IF(K273="","",K273*Parameters!$B$2)</f>
        <v>384000</v>
      </c>
      <c r="M273">
        <f t="shared" si="13"/>
        <v>1535640</v>
      </c>
      <c r="N273">
        <v>500</v>
      </c>
      <c r="O273">
        <f>IF(N273="","",N273*Parameters!$B$2)</f>
        <v>160000</v>
      </c>
      <c r="P273">
        <f t="shared" si="14"/>
        <v>1311640</v>
      </c>
    </row>
    <row r="274" spans="1:16">
      <c r="A274" t="s">
        <v>79</v>
      </c>
      <c r="B274" t="s">
        <v>246</v>
      </c>
      <c r="C274" t="s">
        <v>15</v>
      </c>
      <c r="D274" t="s">
        <v>16</v>
      </c>
      <c r="E274" t="s">
        <v>50</v>
      </c>
      <c r="F274">
        <v>3961000</v>
      </c>
      <c r="G274">
        <f>IF(F274="","",F274*Parameters!$B$1)</f>
        <v>831810</v>
      </c>
      <c r="H274">
        <v>1100</v>
      </c>
      <c r="I274">
        <f>IF(H274="","",H274*Parameters!$B$2)</f>
        <v>352000</v>
      </c>
      <c r="J274">
        <f t="shared" si="12"/>
        <v>1183810</v>
      </c>
      <c r="K274">
        <v>1200</v>
      </c>
      <c r="L274">
        <f>IF(K274="","",K274*Parameters!$B$2)</f>
        <v>384000</v>
      </c>
      <c r="M274">
        <f t="shared" si="13"/>
        <v>1215810</v>
      </c>
      <c r="N274">
        <v>500</v>
      </c>
      <c r="O274">
        <f>IF(N274="","",N274*Parameters!$B$2)</f>
        <v>160000</v>
      </c>
      <c r="P274">
        <f t="shared" si="14"/>
        <v>991810</v>
      </c>
    </row>
    <row r="275" spans="1:16">
      <c r="A275" t="s">
        <v>79</v>
      </c>
      <c r="B275" t="s">
        <v>246</v>
      </c>
      <c r="C275" t="s">
        <v>15</v>
      </c>
      <c r="D275" t="s">
        <v>16</v>
      </c>
      <c r="E275" t="s">
        <v>65</v>
      </c>
      <c r="F275">
        <v>3961000</v>
      </c>
      <c r="G275">
        <f>IF(F275="","",F275*Parameters!$B$1)</f>
        <v>831810</v>
      </c>
      <c r="H275">
        <v>1100</v>
      </c>
      <c r="I275">
        <f>IF(H275="","",H275*Parameters!$B$2)</f>
        <v>352000</v>
      </c>
      <c r="J275">
        <f t="shared" si="12"/>
        <v>1183810</v>
      </c>
      <c r="K275">
        <v>1200</v>
      </c>
      <c r="L275">
        <f>IF(K275="","",K275*Parameters!$B$2)</f>
        <v>384000</v>
      </c>
      <c r="M275">
        <f t="shared" si="13"/>
        <v>1215810</v>
      </c>
      <c r="N275">
        <v>500</v>
      </c>
      <c r="O275">
        <f>IF(N275="","",N275*Parameters!$B$2)</f>
        <v>160000</v>
      </c>
      <c r="P275">
        <f t="shared" si="14"/>
        <v>991810</v>
      </c>
    </row>
    <row r="276" spans="1:16">
      <c r="A276" t="s">
        <v>79</v>
      </c>
      <c r="B276" t="s">
        <v>247</v>
      </c>
      <c r="C276" t="s">
        <v>15</v>
      </c>
      <c r="D276" t="s">
        <v>16</v>
      </c>
      <c r="E276" t="s">
        <v>65</v>
      </c>
      <c r="F276">
        <v>3961000</v>
      </c>
      <c r="G276">
        <f>IF(F276="","",F276*Parameters!$B$1)</f>
        <v>831810</v>
      </c>
      <c r="H276">
        <v>1100</v>
      </c>
      <c r="I276">
        <f>IF(H276="","",H276*Parameters!$B$2)</f>
        <v>352000</v>
      </c>
      <c r="J276">
        <f t="shared" si="12"/>
        <v>1183810</v>
      </c>
      <c r="K276">
        <v>1200</v>
      </c>
      <c r="L276">
        <f>IF(K276="","",K276*Parameters!$B$2)</f>
        <v>384000</v>
      </c>
      <c r="M276">
        <f t="shared" si="13"/>
        <v>1215810</v>
      </c>
      <c r="N276">
        <v>500</v>
      </c>
      <c r="O276">
        <f>IF(N276="","",N276*Parameters!$B$2)</f>
        <v>160000</v>
      </c>
      <c r="P276">
        <f t="shared" si="14"/>
        <v>991810</v>
      </c>
    </row>
    <row r="277" spans="1:16">
      <c r="A277" t="s">
        <v>79</v>
      </c>
      <c r="B277" t="s">
        <v>248</v>
      </c>
      <c r="C277" t="s">
        <v>15</v>
      </c>
      <c r="D277" t="s">
        <v>16</v>
      </c>
      <c r="E277" t="s">
        <v>50</v>
      </c>
      <c r="F277">
        <v>3961000</v>
      </c>
      <c r="G277">
        <f>IF(F277="","",F277*Parameters!$B$1)</f>
        <v>831810</v>
      </c>
      <c r="H277">
        <v>1100</v>
      </c>
      <c r="I277">
        <f>IF(H277="","",H277*Parameters!$B$2)</f>
        <v>352000</v>
      </c>
      <c r="J277">
        <f t="shared" si="12"/>
        <v>1183810</v>
      </c>
      <c r="K277">
        <v>1200</v>
      </c>
      <c r="L277">
        <f>IF(K277="","",K277*Parameters!$B$2)</f>
        <v>384000</v>
      </c>
      <c r="M277">
        <f t="shared" si="13"/>
        <v>1215810</v>
      </c>
      <c r="N277">
        <v>500</v>
      </c>
      <c r="O277">
        <f>IF(N277="","",N277*Parameters!$B$2)</f>
        <v>160000</v>
      </c>
      <c r="P277">
        <f t="shared" si="14"/>
        <v>991810</v>
      </c>
    </row>
    <row r="278" spans="1:16">
      <c r="A278" t="s">
        <v>79</v>
      </c>
      <c r="B278" t="s">
        <v>249</v>
      </c>
      <c r="C278" t="s">
        <v>16</v>
      </c>
      <c r="D278" t="s">
        <v>16</v>
      </c>
      <c r="E278" t="s">
        <v>50</v>
      </c>
      <c r="F278">
        <v>3961000</v>
      </c>
      <c r="G278">
        <f>IF(F278="","",F278*Parameters!$B$1)</f>
        <v>831810</v>
      </c>
      <c r="H278">
        <v>1100</v>
      </c>
      <c r="I278">
        <f>IF(H278="","",H278*Parameters!$B$2)</f>
        <v>352000</v>
      </c>
      <c r="J278">
        <f t="shared" si="12"/>
        <v>1183810</v>
      </c>
      <c r="K278">
        <v>1200</v>
      </c>
      <c r="L278">
        <f>IF(K278="","",K278*Parameters!$B$2)</f>
        <v>384000</v>
      </c>
      <c r="M278">
        <f t="shared" si="13"/>
        <v>1215810</v>
      </c>
      <c r="N278">
        <v>500</v>
      </c>
      <c r="O278">
        <f>IF(N278="","",N278*Parameters!$B$2)</f>
        <v>160000</v>
      </c>
      <c r="P278">
        <f t="shared" si="14"/>
        <v>991810</v>
      </c>
    </row>
    <row r="279" spans="1:16">
      <c r="A279" t="s">
        <v>79</v>
      </c>
      <c r="B279" t="s">
        <v>249</v>
      </c>
      <c r="C279" t="s">
        <v>16</v>
      </c>
      <c r="D279" t="s">
        <v>16</v>
      </c>
      <c r="E279" t="s">
        <v>65</v>
      </c>
      <c r="F279">
        <v>3961000</v>
      </c>
      <c r="G279">
        <f>IF(F279="","",F279*Parameters!$B$1)</f>
        <v>831810</v>
      </c>
      <c r="H279">
        <v>1100</v>
      </c>
      <c r="I279">
        <f>IF(H279="","",H279*Parameters!$B$2)</f>
        <v>352000</v>
      </c>
      <c r="J279">
        <f t="shared" si="12"/>
        <v>1183810</v>
      </c>
      <c r="K279">
        <v>1200</v>
      </c>
      <c r="L279">
        <f>IF(K279="","",K279*Parameters!$B$2)</f>
        <v>384000</v>
      </c>
      <c r="M279">
        <f t="shared" si="13"/>
        <v>1215810</v>
      </c>
      <c r="N279">
        <v>500</v>
      </c>
      <c r="O279">
        <f>IF(N279="","",N279*Parameters!$B$2)</f>
        <v>160000</v>
      </c>
      <c r="P279">
        <f t="shared" si="14"/>
        <v>991810</v>
      </c>
    </row>
    <row r="280" spans="1:16">
      <c r="A280" t="s">
        <v>79</v>
      </c>
      <c r="B280" t="s">
        <v>249</v>
      </c>
      <c r="C280" t="s">
        <v>16</v>
      </c>
      <c r="D280" t="s">
        <v>16</v>
      </c>
      <c r="E280" t="s">
        <v>184</v>
      </c>
      <c r="F280">
        <v>3961000</v>
      </c>
      <c r="G280">
        <f>IF(F280="","",F280*Parameters!$B$1)</f>
        <v>831810</v>
      </c>
      <c r="H280">
        <v>1100</v>
      </c>
      <c r="I280">
        <f>IF(H280="","",H280*Parameters!$B$2)</f>
        <v>352000</v>
      </c>
      <c r="J280">
        <f t="shared" si="12"/>
        <v>1183810</v>
      </c>
      <c r="K280">
        <v>1200</v>
      </c>
      <c r="L280">
        <f>IF(K280="","",K280*Parameters!$B$2)</f>
        <v>384000</v>
      </c>
      <c r="M280">
        <f t="shared" si="13"/>
        <v>1215810</v>
      </c>
      <c r="N280">
        <v>500</v>
      </c>
      <c r="O280">
        <f>IF(N280="","",N280*Parameters!$B$2)</f>
        <v>160000</v>
      </c>
      <c r="P280">
        <f t="shared" si="14"/>
        <v>991810</v>
      </c>
    </row>
    <row r="281" spans="1:16">
      <c r="A281" t="s">
        <v>79</v>
      </c>
      <c r="B281" t="s">
        <v>250</v>
      </c>
      <c r="C281" t="s">
        <v>16</v>
      </c>
      <c r="D281" t="s">
        <v>16</v>
      </c>
      <c r="E281" t="s">
        <v>50</v>
      </c>
      <c r="F281">
        <v>3961000</v>
      </c>
      <c r="G281">
        <f>IF(F281="","",F281*Parameters!$B$1)</f>
        <v>831810</v>
      </c>
      <c r="H281">
        <v>1100</v>
      </c>
      <c r="I281">
        <f>IF(H281="","",H281*Parameters!$B$2)</f>
        <v>352000</v>
      </c>
      <c r="J281">
        <f t="shared" si="12"/>
        <v>1183810</v>
      </c>
      <c r="K281">
        <v>1200</v>
      </c>
      <c r="L281">
        <f>IF(K281="","",K281*Parameters!$B$2)</f>
        <v>384000</v>
      </c>
      <c r="M281">
        <f t="shared" si="13"/>
        <v>1215810</v>
      </c>
      <c r="N281">
        <v>500</v>
      </c>
      <c r="O281">
        <f>IF(N281="","",N281*Parameters!$B$2)</f>
        <v>160000</v>
      </c>
      <c r="P281">
        <f t="shared" si="14"/>
        <v>991810</v>
      </c>
    </row>
    <row r="282" spans="1:16">
      <c r="A282" t="s">
        <v>79</v>
      </c>
      <c r="B282" t="s">
        <v>250</v>
      </c>
      <c r="C282" t="s">
        <v>16</v>
      </c>
      <c r="D282" t="s">
        <v>16</v>
      </c>
      <c r="E282" t="s">
        <v>65</v>
      </c>
      <c r="F282">
        <v>3961000</v>
      </c>
      <c r="G282">
        <f>IF(F282="","",F282*Parameters!$B$1)</f>
        <v>831810</v>
      </c>
      <c r="H282">
        <v>1100</v>
      </c>
      <c r="I282">
        <f>IF(H282="","",H282*Parameters!$B$2)</f>
        <v>352000</v>
      </c>
      <c r="J282">
        <f t="shared" si="12"/>
        <v>1183810</v>
      </c>
      <c r="K282">
        <v>1200</v>
      </c>
      <c r="L282">
        <f>IF(K282="","",K282*Parameters!$B$2)</f>
        <v>384000</v>
      </c>
      <c r="M282">
        <f t="shared" si="13"/>
        <v>1215810</v>
      </c>
      <c r="N282">
        <v>500</v>
      </c>
      <c r="O282">
        <f>IF(N282="","",N282*Parameters!$B$2)</f>
        <v>160000</v>
      </c>
      <c r="P282">
        <f t="shared" si="14"/>
        <v>991810</v>
      </c>
    </row>
    <row r="283" spans="1:16">
      <c r="A283" t="s">
        <v>79</v>
      </c>
      <c r="B283" t="s">
        <v>250</v>
      </c>
      <c r="C283" t="s">
        <v>16</v>
      </c>
      <c r="D283" t="s">
        <v>16</v>
      </c>
      <c r="E283" t="s">
        <v>184</v>
      </c>
      <c r="F283">
        <v>3961000</v>
      </c>
      <c r="G283">
        <f>IF(F283="","",F283*Parameters!$B$1)</f>
        <v>831810</v>
      </c>
      <c r="H283">
        <v>1100</v>
      </c>
      <c r="I283">
        <f>IF(H283="","",H283*Parameters!$B$2)</f>
        <v>352000</v>
      </c>
      <c r="J283">
        <f t="shared" si="12"/>
        <v>1183810</v>
      </c>
      <c r="K283">
        <v>1200</v>
      </c>
      <c r="L283">
        <f>IF(K283="","",K283*Parameters!$B$2)</f>
        <v>384000</v>
      </c>
      <c r="M283">
        <f t="shared" si="13"/>
        <v>1215810</v>
      </c>
      <c r="N283">
        <v>500</v>
      </c>
      <c r="O283">
        <f>IF(N283="","",N283*Parameters!$B$2)</f>
        <v>160000</v>
      </c>
      <c r="P283">
        <f t="shared" si="14"/>
        <v>991810</v>
      </c>
    </row>
    <row r="284" spans="1:16">
      <c r="A284" t="s">
        <v>79</v>
      </c>
      <c r="B284" t="s">
        <v>251</v>
      </c>
      <c r="C284" t="s">
        <v>16</v>
      </c>
      <c r="D284" t="s">
        <v>16</v>
      </c>
      <c r="E284" t="s">
        <v>50</v>
      </c>
      <c r="F284">
        <v>3961000</v>
      </c>
      <c r="G284">
        <f>IF(F284="","",F284*Parameters!$B$1)</f>
        <v>831810</v>
      </c>
      <c r="H284">
        <v>1100</v>
      </c>
      <c r="I284">
        <f>IF(H284="","",H284*Parameters!$B$2)</f>
        <v>352000</v>
      </c>
      <c r="J284">
        <f t="shared" si="12"/>
        <v>1183810</v>
      </c>
      <c r="K284">
        <v>1200</v>
      </c>
      <c r="L284">
        <f>IF(K284="","",K284*Parameters!$B$2)</f>
        <v>384000</v>
      </c>
      <c r="M284">
        <f t="shared" si="13"/>
        <v>1215810</v>
      </c>
      <c r="N284">
        <v>500</v>
      </c>
      <c r="O284">
        <f>IF(N284="","",N284*Parameters!$B$2)</f>
        <v>160000</v>
      </c>
      <c r="P284">
        <f t="shared" si="14"/>
        <v>991810</v>
      </c>
    </row>
    <row r="285" spans="1:16">
      <c r="A285" t="s">
        <v>79</v>
      </c>
      <c r="B285" t="s">
        <v>251</v>
      </c>
      <c r="C285" t="s">
        <v>16</v>
      </c>
      <c r="D285" t="s">
        <v>16</v>
      </c>
      <c r="E285" t="s">
        <v>65</v>
      </c>
      <c r="F285">
        <v>3961000</v>
      </c>
      <c r="G285">
        <f>IF(F285="","",F285*Parameters!$B$1)</f>
        <v>831810</v>
      </c>
      <c r="H285">
        <v>1100</v>
      </c>
      <c r="I285">
        <f>IF(H285="","",H285*Parameters!$B$2)</f>
        <v>352000</v>
      </c>
      <c r="J285">
        <f t="shared" si="12"/>
        <v>1183810</v>
      </c>
      <c r="K285">
        <v>1200</v>
      </c>
      <c r="L285">
        <f>IF(K285="","",K285*Parameters!$B$2)</f>
        <v>384000</v>
      </c>
      <c r="M285">
        <f t="shared" si="13"/>
        <v>1215810</v>
      </c>
      <c r="N285">
        <v>500</v>
      </c>
      <c r="O285">
        <f>IF(N285="","",N285*Parameters!$B$2)</f>
        <v>160000</v>
      </c>
      <c r="P285">
        <f t="shared" si="14"/>
        <v>991810</v>
      </c>
    </row>
    <row r="286" spans="1:16">
      <c r="A286" t="s">
        <v>79</v>
      </c>
      <c r="B286" t="s">
        <v>251</v>
      </c>
      <c r="C286" t="s">
        <v>16</v>
      </c>
      <c r="D286" t="s">
        <v>16</v>
      </c>
      <c r="E286" t="s">
        <v>184</v>
      </c>
      <c r="F286">
        <v>3961000</v>
      </c>
      <c r="G286">
        <f>IF(F286="","",F286*Parameters!$B$1)</f>
        <v>831810</v>
      </c>
      <c r="H286">
        <v>1100</v>
      </c>
      <c r="I286">
        <f>IF(H286="","",H286*Parameters!$B$2)</f>
        <v>352000</v>
      </c>
      <c r="J286">
        <f t="shared" si="12"/>
        <v>1183810</v>
      </c>
      <c r="K286">
        <v>1200</v>
      </c>
      <c r="L286">
        <f>IF(K286="","",K286*Parameters!$B$2)</f>
        <v>384000</v>
      </c>
      <c r="M286">
        <f t="shared" si="13"/>
        <v>1215810</v>
      </c>
      <c r="N286">
        <v>500</v>
      </c>
      <c r="O286">
        <f>IF(N286="","",N286*Parameters!$B$2)</f>
        <v>160000</v>
      </c>
      <c r="P286">
        <f t="shared" si="14"/>
        <v>991810</v>
      </c>
    </row>
    <row r="287" spans="1:16">
      <c r="A287" t="s">
        <v>79</v>
      </c>
      <c r="B287" t="s">
        <v>252</v>
      </c>
      <c r="C287" t="s">
        <v>16</v>
      </c>
      <c r="D287" t="s">
        <v>16</v>
      </c>
      <c r="E287" t="s">
        <v>50</v>
      </c>
      <c r="F287">
        <v>3961000</v>
      </c>
      <c r="G287">
        <f>IF(F287="","",F287*Parameters!$B$1)</f>
        <v>831810</v>
      </c>
      <c r="H287">
        <v>1100</v>
      </c>
      <c r="I287">
        <f>IF(H287="","",H287*Parameters!$B$2)</f>
        <v>352000</v>
      </c>
      <c r="J287">
        <f t="shared" si="12"/>
        <v>1183810</v>
      </c>
      <c r="K287">
        <v>1200</v>
      </c>
      <c r="L287">
        <f>IF(K287="","",K287*Parameters!$B$2)</f>
        <v>384000</v>
      </c>
      <c r="M287">
        <f t="shared" si="13"/>
        <v>1215810</v>
      </c>
      <c r="N287">
        <v>500</v>
      </c>
      <c r="O287">
        <f>IF(N287="","",N287*Parameters!$B$2)</f>
        <v>160000</v>
      </c>
      <c r="P287">
        <f t="shared" si="14"/>
        <v>991810</v>
      </c>
    </row>
    <row r="288" spans="1:16">
      <c r="A288" t="s">
        <v>79</v>
      </c>
      <c r="B288" t="s">
        <v>252</v>
      </c>
      <c r="C288" t="s">
        <v>16</v>
      </c>
      <c r="D288" t="s">
        <v>16</v>
      </c>
      <c r="E288" t="s">
        <v>65</v>
      </c>
      <c r="F288">
        <v>3961000</v>
      </c>
      <c r="G288">
        <f>IF(F288="","",F288*Parameters!$B$1)</f>
        <v>831810</v>
      </c>
      <c r="H288">
        <v>1100</v>
      </c>
      <c r="I288">
        <f>IF(H288="","",H288*Parameters!$B$2)</f>
        <v>352000</v>
      </c>
      <c r="J288">
        <f t="shared" si="12"/>
        <v>1183810</v>
      </c>
      <c r="K288">
        <v>1200</v>
      </c>
      <c r="L288">
        <f>IF(K288="","",K288*Parameters!$B$2)</f>
        <v>384000</v>
      </c>
      <c r="M288">
        <f t="shared" si="13"/>
        <v>1215810</v>
      </c>
      <c r="N288">
        <v>500</v>
      </c>
      <c r="O288">
        <f>IF(N288="","",N288*Parameters!$B$2)</f>
        <v>160000</v>
      </c>
      <c r="P288">
        <f t="shared" si="14"/>
        <v>991810</v>
      </c>
    </row>
    <row r="289" spans="1:16">
      <c r="A289" t="s">
        <v>79</v>
      </c>
      <c r="B289" t="s">
        <v>252</v>
      </c>
      <c r="C289" t="s">
        <v>16</v>
      </c>
      <c r="D289" t="s">
        <v>16</v>
      </c>
      <c r="E289" t="s">
        <v>184</v>
      </c>
      <c r="F289">
        <v>3961000</v>
      </c>
      <c r="G289">
        <f>IF(F289="","",F289*Parameters!$B$1)</f>
        <v>831810</v>
      </c>
      <c r="H289">
        <v>1100</v>
      </c>
      <c r="I289">
        <f>IF(H289="","",H289*Parameters!$B$2)</f>
        <v>352000</v>
      </c>
      <c r="J289">
        <f t="shared" si="12"/>
        <v>1183810</v>
      </c>
      <c r="K289">
        <v>1200</v>
      </c>
      <c r="L289">
        <f>IF(K289="","",K289*Parameters!$B$2)</f>
        <v>384000</v>
      </c>
      <c r="M289">
        <f t="shared" si="13"/>
        <v>1215810</v>
      </c>
      <c r="N289">
        <v>500</v>
      </c>
      <c r="O289">
        <f>IF(N289="","",N289*Parameters!$B$2)</f>
        <v>160000</v>
      </c>
      <c r="P289">
        <f t="shared" si="14"/>
        <v>991810</v>
      </c>
    </row>
    <row r="290" spans="1:16">
      <c r="A290" t="s">
        <v>79</v>
      </c>
      <c r="B290" t="s">
        <v>253</v>
      </c>
      <c r="C290" t="s">
        <v>16</v>
      </c>
      <c r="D290" t="s">
        <v>16</v>
      </c>
      <c r="E290" t="s">
        <v>50</v>
      </c>
      <c r="F290">
        <v>3961000</v>
      </c>
      <c r="G290">
        <f>IF(F290="","",F290*Parameters!$B$1)</f>
        <v>831810</v>
      </c>
      <c r="H290">
        <v>1100</v>
      </c>
      <c r="I290">
        <f>IF(H290="","",H290*Parameters!$B$2)</f>
        <v>352000</v>
      </c>
      <c r="J290">
        <f t="shared" si="12"/>
        <v>1183810</v>
      </c>
      <c r="K290">
        <v>1200</v>
      </c>
      <c r="L290">
        <f>IF(K290="","",K290*Parameters!$B$2)</f>
        <v>384000</v>
      </c>
      <c r="M290">
        <f t="shared" si="13"/>
        <v>1215810</v>
      </c>
      <c r="N290">
        <v>500</v>
      </c>
      <c r="O290">
        <f>IF(N290="","",N290*Parameters!$B$2)</f>
        <v>160000</v>
      </c>
      <c r="P290">
        <f t="shared" si="14"/>
        <v>991810</v>
      </c>
    </row>
    <row r="291" spans="1:16">
      <c r="A291" t="s">
        <v>79</v>
      </c>
      <c r="B291" t="s">
        <v>253</v>
      </c>
      <c r="C291" t="s">
        <v>16</v>
      </c>
      <c r="D291" t="s">
        <v>16</v>
      </c>
      <c r="E291" t="s">
        <v>65</v>
      </c>
      <c r="F291">
        <v>3961000</v>
      </c>
      <c r="G291">
        <f>IF(F291="","",F291*Parameters!$B$1)</f>
        <v>831810</v>
      </c>
      <c r="H291">
        <v>1100</v>
      </c>
      <c r="I291">
        <f>IF(H291="","",H291*Parameters!$B$2)</f>
        <v>352000</v>
      </c>
      <c r="J291">
        <f t="shared" si="12"/>
        <v>1183810</v>
      </c>
      <c r="K291">
        <v>1200</v>
      </c>
      <c r="L291">
        <f>IF(K291="","",K291*Parameters!$B$2)</f>
        <v>384000</v>
      </c>
      <c r="M291">
        <f t="shared" si="13"/>
        <v>1215810</v>
      </c>
      <c r="N291">
        <v>500</v>
      </c>
      <c r="O291">
        <f>IF(N291="","",N291*Parameters!$B$2)</f>
        <v>160000</v>
      </c>
      <c r="P291">
        <f t="shared" si="14"/>
        <v>991810</v>
      </c>
    </row>
    <row r="292" spans="1:16">
      <c r="A292" t="s">
        <v>79</v>
      </c>
      <c r="B292" t="s">
        <v>253</v>
      </c>
      <c r="C292" t="s">
        <v>16</v>
      </c>
      <c r="D292" t="s">
        <v>16</v>
      </c>
      <c r="E292" t="s">
        <v>184</v>
      </c>
      <c r="F292">
        <v>3961000</v>
      </c>
      <c r="G292">
        <f>IF(F292="","",F292*Parameters!$B$1)</f>
        <v>831810</v>
      </c>
      <c r="H292">
        <v>1100</v>
      </c>
      <c r="I292">
        <f>IF(H292="","",H292*Parameters!$B$2)</f>
        <v>352000</v>
      </c>
      <c r="J292">
        <f t="shared" si="12"/>
        <v>1183810</v>
      </c>
      <c r="K292">
        <v>1200</v>
      </c>
      <c r="L292">
        <f>IF(K292="","",K292*Parameters!$B$2)</f>
        <v>384000</v>
      </c>
      <c r="M292">
        <f t="shared" si="13"/>
        <v>1215810</v>
      </c>
      <c r="N292">
        <v>500</v>
      </c>
      <c r="O292">
        <f>IF(N292="","",N292*Parameters!$B$2)</f>
        <v>160000</v>
      </c>
      <c r="P292">
        <f t="shared" si="14"/>
        <v>991810</v>
      </c>
    </row>
    <row r="293" spans="1:16">
      <c r="A293" t="s">
        <v>79</v>
      </c>
      <c r="B293" t="s">
        <v>254</v>
      </c>
      <c r="C293" t="s">
        <v>16</v>
      </c>
      <c r="D293" t="s">
        <v>15</v>
      </c>
      <c r="E293" t="s">
        <v>50</v>
      </c>
      <c r="F293">
        <v>3961000</v>
      </c>
      <c r="G293">
        <f>IF(F293="","",F293*Parameters!$B$1)</f>
        <v>831810</v>
      </c>
      <c r="H293">
        <v>1100</v>
      </c>
      <c r="I293">
        <f>IF(H293="","",H293*Parameters!$B$2)</f>
        <v>352000</v>
      </c>
      <c r="J293">
        <f t="shared" si="12"/>
        <v>1183810</v>
      </c>
      <c r="K293">
        <v>1200</v>
      </c>
      <c r="L293">
        <f>IF(K293="","",K293*Parameters!$B$2)</f>
        <v>384000</v>
      </c>
      <c r="M293">
        <f t="shared" si="13"/>
        <v>1215810</v>
      </c>
      <c r="N293">
        <v>500</v>
      </c>
      <c r="O293">
        <f>IF(N293="","",N293*Parameters!$B$2)</f>
        <v>160000</v>
      </c>
      <c r="P293">
        <f t="shared" si="14"/>
        <v>991810</v>
      </c>
    </row>
    <row r="294" spans="1:16">
      <c r="A294" t="s">
        <v>79</v>
      </c>
      <c r="B294" t="s">
        <v>254</v>
      </c>
      <c r="C294" t="s">
        <v>16</v>
      </c>
      <c r="D294" t="s">
        <v>15</v>
      </c>
      <c r="E294" t="s">
        <v>65</v>
      </c>
      <c r="F294">
        <v>3961000</v>
      </c>
      <c r="G294">
        <f>IF(F294="","",F294*Parameters!$B$1)</f>
        <v>831810</v>
      </c>
      <c r="H294">
        <v>1100</v>
      </c>
      <c r="I294">
        <f>IF(H294="","",H294*Parameters!$B$2)</f>
        <v>352000</v>
      </c>
      <c r="J294">
        <f t="shared" si="12"/>
        <v>1183810</v>
      </c>
      <c r="K294">
        <v>1200</v>
      </c>
      <c r="L294">
        <f>IF(K294="","",K294*Parameters!$B$2)</f>
        <v>384000</v>
      </c>
      <c r="M294">
        <f t="shared" si="13"/>
        <v>1215810</v>
      </c>
      <c r="N294">
        <v>500</v>
      </c>
      <c r="O294">
        <f>IF(N294="","",N294*Parameters!$B$2)</f>
        <v>160000</v>
      </c>
      <c r="P294">
        <f t="shared" si="14"/>
        <v>991810</v>
      </c>
    </row>
    <row r="295" spans="1:16">
      <c r="A295" t="s">
        <v>79</v>
      </c>
      <c r="B295" t="s">
        <v>254</v>
      </c>
      <c r="C295" t="s">
        <v>16</v>
      </c>
      <c r="D295" t="s">
        <v>15</v>
      </c>
      <c r="E295" t="s">
        <v>184</v>
      </c>
      <c r="F295">
        <v>3961000</v>
      </c>
      <c r="G295">
        <f>IF(F295="","",F295*Parameters!$B$1)</f>
        <v>831810</v>
      </c>
      <c r="H295">
        <v>1100</v>
      </c>
      <c r="I295">
        <f>IF(H295="","",H295*Parameters!$B$2)</f>
        <v>352000</v>
      </c>
      <c r="J295">
        <f t="shared" si="12"/>
        <v>1183810</v>
      </c>
      <c r="K295">
        <v>1200</v>
      </c>
      <c r="L295">
        <f>IF(K295="","",K295*Parameters!$B$2)</f>
        <v>384000</v>
      </c>
      <c r="M295">
        <f t="shared" si="13"/>
        <v>1215810</v>
      </c>
      <c r="N295">
        <v>500</v>
      </c>
      <c r="O295">
        <f>IF(N295="","",N295*Parameters!$B$2)</f>
        <v>160000</v>
      </c>
      <c r="P295">
        <f t="shared" si="14"/>
        <v>991810</v>
      </c>
    </row>
    <row r="296" spans="1:16">
      <c r="A296" t="s">
        <v>79</v>
      </c>
      <c r="B296" t="s">
        <v>255</v>
      </c>
      <c r="C296" t="s">
        <v>15</v>
      </c>
      <c r="D296" t="s">
        <v>16</v>
      </c>
      <c r="E296" t="s">
        <v>50</v>
      </c>
      <c r="F296">
        <v>3961000</v>
      </c>
      <c r="G296">
        <f>IF(F296="","",F296*Parameters!$B$1)</f>
        <v>831810</v>
      </c>
      <c r="H296">
        <v>1100</v>
      </c>
      <c r="I296">
        <f>IF(H296="","",H296*Parameters!$B$2)</f>
        <v>352000</v>
      </c>
      <c r="J296">
        <f t="shared" si="12"/>
        <v>1183810</v>
      </c>
      <c r="K296">
        <v>1200</v>
      </c>
      <c r="L296">
        <f>IF(K296="","",K296*Parameters!$B$2)</f>
        <v>384000</v>
      </c>
      <c r="M296">
        <f t="shared" si="13"/>
        <v>1215810</v>
      </c>
      <c r="N296">
        <v>500</v>
      </c>
      <c r="O296">
        <f>IF(N296="","",N296*Parameters!$B$2)</f>
        <v>160000</v>
      </c>
      <c r="P296">
        <f t="shared" si="14"/>
        <v>991810</v>
      </c>
    </row>
    <row r="297" spans="1:16">
      <c r="A297" t="s">
        <v>79</v>
      </c>
      <c r="B297" t="s">
        <v>255</v>
      </c>
      <c r="C297" t="s">
        <v>15</v>
      </c>
      <c r="D297" t="s">
        <v>16</v>
      </c>
      <c r="E297" t="s">
        <v>184</v>
      </c>
      <c r="F297">
        <v>3961000</v>
      </c>
      <c r="G297">
        <f>IF(F297="","",F297*Parameters!$B$1)</f>
        <v>831810</v>
      </c>
      <c r="H297">
        <v>1100</v>
      </c>
      <c r="I297">
        <f>IF(H297="","",H297*Parameters!$B$2)</f>
        <v>352000</v>
      </c>
      <c r="J297">
        <f t="shared" si="12"/>
        <v>1183810</v>
      </c>
      <c r="K297">
        <v>1200</v>
      </c>
      <c r="L297">
        <f>IF(K297="","",K297*Parameters!$B$2)</f>
        <v>384000</v>
      </c>
      <c r="M297">
        <f t="shared" si="13"/>
        <v>1215810</v>
      </c>
      <c r="N297">
        <v>500</v>
      </c>
      <c r="O297">
        <f>IF(N297="","",N297*Parameters!$B$2)</f>
        <v>160000</v>
      </c>
      <c r="P297">
        <f t="shared" si="14"/>
        <v>991810</v>
      </c>
    </row>
    <row r="298" spans="1:16">
      <c r="A298" t="s">
        <v>79</v>
      </c>
      <c r="B298" t="s">
        <v>256</v>
      </c>
      <c r="C298" t="s">
        <v>16</v>
      </c>
      <c r="D298" t="s">
        <v>16</v>
      </c>
      <c r="E298" t="s">
        <v>50</v>
      </c>
      <c r="F298">
        <v>3961000</v>
      </c>
      <c r="G298">
        <f>IF(F298="","",F298*Parameters!$B$1)</f>
        <v>831810</v>
      </c>
      <c r="H298">
        <v>1100</v>
      </c>
      <c r="I298">
        <f>IF(H298="","",H298*Parameters!$B$2)</f>
        <v>352000</v>
      </c>
      <c r="J298">
        <f t="shared" si="12"/>
        <v>1183810</v>
      </c>
      <c r="K298">
        <v>1200</v>
      </c>
      <c r="L298">
        <f>IF(K298="","",K298*Parameters!$B$2)</f>
        <v>384000</v>
      </c>
      <c r="M298">
        <f t="shared" si="13"/>
        <v>1215810</v>
      </c>
      <c r="N298">
        <v>500</v>
      </c>
      <c r="O298">
        <f>IF(N298="","",N298*Parameters!$B$2)</f>
        <v>160000</v>
      </c>
      <c r="P298">
        <f t="shared" si="14"/>
        <v>991810</v>
      </c>
    </row>
    <row r="299" spans="1:16">
      <c r="A299" t="s">
        <v>79</v>
      </c>
      <c r="B299" t="s">
        <v>256</v>
      </c>
      <c r="C299" t="s">
        <v>16</v>
      </c>
      <c r="D299" t="s">
        <v>16</v>
      </c>
      <c r="E299" t="s">
        <v>65</v>
      </c>
      <c r="F299">
        <v>3961000</v>
      </c>
      <c r="G299">
        <f>IF(F299="","",F299*Parameters!$B$1)</f>
        <v>831810</v>
      </c>
      <c r="H299">
        <v>1100</v>
      </c>
      <c r="I299">
        <f>IF(H299="","",H299*Parameters!$B$2)</f>
        <v>352000</v>
      </c>
      <c r="J299">
        <f t="shared" si="12"/>
        <v>1183810</v>
      </c>
      <c r="K299">
        <v>1200</v>
      </c>
      <c r="L299">
        <f>IF(K299="","",K299*Parameters!$B$2)</f>
        <v>384000</v>
      </c>
      <c r="M299">
        <f t="shared" si="13"/>
        <v>1215810</v>
      </c>
      <c r="N299">
        <v>500</v>
      </c>
      <c r="O299">
        <f>IF(N299="","",N299*Parameters!$B$2)</f>
        <v>160000</v>
      </c>
      <c r="P299">
        <f t="shared" si="14"/>
        <v>991810</v>
      </c>
    </row>
    <row r="300" spans="1:16">
      <c r="A300" t="s">
        <v>79</v>
      </c>
      <c r="B300" t="s">
        <v>257</v>
      </c>
      <c r="C300" t="s">
        <v>16</v>
      </c>
      <c r="D300" t="s">
        <v>16</v>
      </c>
      <c r="E300" t="s">
        <v>50</v>
      </c>
      <c r="F300">
        <v>3961000</v>
      </c>
      <c r="G300">
        <f>IF(F300="","",F300*Parameters!$B$1)</f>
        <v>831810</v>
      </c>
      <c r="H300">
        <v>1100</v>
      </c>
      <c r="I300">
        <f>IF(H300="","",H300*Parameters!$B$2)</f>
        <v>352000</v>
      </c>
      <c r="J300">
        <f t="shared" si="12"/>
        <v>1183810</v>
      </c>
      <c r="K300">
        <v>1200</v>
      </c>
      <c r="L300">
        <f>IF(K300="","",K300*Parameters!$B$2)</f>
        <v>384000</v>
      </c>
      <c r="M300">
        <f t="shared" si="13"/>
        <v>1215810</v>
      </c>
      <c r="N300">
        <v>500</v>
      </c>
      <c r="O300">
        <f>IF(N300="","",N300*Parameters!$B$2)</f>
        <v>160000</v>
      </c>
      <c r="P300">
        <f t="shared" si="14"/>
        <v>991810</v>
      </c>
    </row>
    <row r="301" spans="1:16">
      <c r="A301" t="s">
        <v>79</v>
      </c>
      <c r="B301" t="s">
        <v>257</v>
      </c>
      <c r="C301" t="s">
        <v>16</v>
      </c>
      <c r="D301" t="s">
        <v>16</v>
      </c>
      <c r="E301" t="s">
        <v>65</v>
      </c>
      <c r="F301">
        <v>3961000</v>
      </c>
      <c r="G301">
        <f>IF(F301="","",F301*Parameters!$B$1)</f>
        <v>831810</v>
      </c>
      <c r="H301">
        <v>1100</v>
      </c>
      <c r="I301">
        <f>IF(H301="","",H301*Parameters!$B$2)</f>
        <v>352000</v>
      </c>
      <c r="J301">
        <f t="shared" si="12"/>
        <v>1183810</v>
      </c>
      <c r="K301">
        <v>1200</v>
      </c>
      <c r="L301">
        <f>IF(K301="","",K301*Parameters!$B$2)</f>
        <v>384000</v>
      </c>
      <c r="M301">
        <f t="shared" si="13"/>
        <v>1215810</v>
      </c>
      <c r="N301">
        <v>500</v>
      </c>
      <c r="O301">
        <f>IF(N301="","",N301*Parameters!$B$2)</f>
        <v>160000</v>
      </c>
      <c r="P301">
        <f t="shared" si="14"/>
        <v>991810</v>
      </c>
    </row>
    <row r="302" spans="1:16">
      <c r="A302" t="s">
        <v>79</v>
      </c>
      <c r="B302" t="s">
        <v>258</v>
      </c>
      <c r="C302" t="s">
        <v>16</v>
      </c>
      <c r="D302" t="s">
        <v>16</v>
      </c>
      <c r="E302" t="s">
        <v>50</v>
      </c>
      <c r="F302">
        <v>3961000</v>
      </c>
      <c r="G302">
        <f>IF(F302="","",F302*Parameters!$B$1)</f>
        <v>831810</v>
      </c>
      <c r="H302">
        <v>1100</v>
      </c>
      <c r="I302">
        <f>IF(H302="","",H302*Parameters!$B$2)</f>
        <v>352000</v>
      </c>
      <c r="J302">
        <f t="shared" si="12"/>
        <v>1183810</v>
      </c>
      <c r="K302">
        <v>1200</v>
      </c>
      <c r="L302">
        <f>IF(K302="","",K302*Parameters!$B$2)</f>
        <v>384000</v>
      </c>
      <c r="M302">
        <f t="shared" si="13"/>
        <v>1215810</v>
      </c>
      <c r="N302">
        <v>500</v>
      </c>
      <c r="O302">
        <f>IF(N302="","",N302*Parameters!$B$2)</f>
        <v>160000</v>
      </c>
      <c r="P302">
        <f t="shared" si="14"/>
        <v>991810</v>
      </c>
    </row>
    <row r="303" spans="1:16">
      <c r="A303" t="s">
        <v>79</v>
      </c>
      <c r="B303" t="s">
        <v>258</v>
      </c>
      <c r="C303" t="s">
        <v>16</v>
      </c>
      <c r="D303" t="s">
        <v>16</v>
      </c>
      <c r="E303" t="s">
        <v>65</v>
      </c>
      <c r="F303">
        <v>3961000</v>
      </c>
      <c r="G303">
        <f>IF(F303="","",F303*Parameters!$B$1)</f>
        <v>831810</v>
      </c>
      <c r="H303">
        <v>1100</v>
      </c>
      <c r="I303">
        <f>IF(H303="","",H303*Parameters!$B$2)</f>
        <v>352000</v>
      </c>
      <c r="J303">
        <f t="shared" si="12"/>
        <v>1183810</v>
      </c>
      <c r="K303">
        <v>1200</v>
      </c>
      <c r="L303">
        <f>IF(K303="","",K303*Parameters!$B$2)</f>
        <v>384000</v>
      </c>
      <c r="M303">
        <f t="shared" si="13"/>
        <v>1215810</v>
      </c>
      <c r="N303">
        <v>500</v>
      </c>
      <c r="O303">
        <f>IF(N303="","",N303*Parameters!$B$2)</f>
        <v>160000</v>
      </c>
      <c r="P303">
        <f t="shared" si="14"/>
        <v>991810</v>
      </c>
    </row>
    <row r="304" spans="1:16">
      <c r="A304" t="s">
        <v>79</v>
      </c>
      <c r="B304" t="s">
        <v>258</v>
      </c>
      <c r="C304" t="s">
        <v>16</v>
      </c>
      <c r="D304" t="s">
        <v>16</v>
      </c>
      <c r="E304" t="s">
        <v>184</v>
      </c>
      <c r="F304">
        <v>3961000</v>
      </c>
      <c r="G304">
        <f>IF(F304="","",F304*Parameters!$B$1)</f>
        <v>831810</v>
      </c>
      <c r="H304">
        <v>1100</v>
      </c>
      <c r="I304">
        <f>IF(H304="","",H304*Parameters!$B$2)</f>
        <v>352000</v>
      </c>
      <c r="J304">
        <f t="shared" si="12"/>
        <v>1183810</v>
      </c>
      <c r="K304">
        <v>1200</v>
      </c>
      <c r="L304">
        <f>IF(K304="","",K304*Parameters!$B$2)</f>
        <v>384000</v>
      </c>
      <c r="M304">
        <f t="shared" si="13"/>
        <v>1215810</v>
      </c>
      <c r="N304">
        <v>500</v>
      </c>
      <c r="O304">
        <f>IF(N304="","",N304*Parameters!$B$2)</f>
        <v>160000</v>
      </c>
      <c r="P304">
        <f t="shared" si="14"/>
        <v>991810</v>
      </c>
    </row>
    <row r="305" spans="1:16">
      <c r="A305" t="s">
        <v>79</v>
      </c>
      <c r="B305" t="s">
        <v>259</v>
      </c>
      <c r="C305" t="s">
        <v>16</v>
      </c>
      <c r="D305" t="s">
        <v>16</v>
      </c>
      <c r="E305" t="s">
        <v>50</v>
      </c>
      <c r="F305">
        <v>3961000</v>
      </c>
      <c r="G305">
        <f>IF(F305="","",F305*Parameters!$B$1)</f>
        <v>831810</v>
      </c>
      <c r="H305">
        <v>1100</v>
      </c>
      <c r="I305">
        <f>IF(H305="","",H305*Parameters!$B$2)</f>
        <v>352000</v>
      </c>
      <c r="J305">
        <f t="shared" si="12"/>
        <v>1183810</v>
      </c>
      <c r="K305">
        <v>1200</v>
      </c>
      <c r="L305">
        <f>IF(K305="","",K305*Parameters!$B$2)</f>
        <v>384000</v>
      </c>
      <c r="M305">
        <f t="shared" si="13"/>
        <v>1215810</v>
      </c>
      <c r="N305">
        <v>500</v>
      </c>
      <c r="O305">
        <f>IF(N305="","",N305*Parameters!$B$2)</f>
        <v>160000</v>
      </c>
      <c r="P305">
        <f t="shared" si="14"/>
        <v>991810</v>
      </c>
    </row>
    <row r="306" spans="1:16">
      <c r="A306" t="s">
        <v>79</v>
      </c>
      <c r="B306" t="s">
        <v>259</v>
      </c>
      <c r="C306" t="s">
        <v>16</v>
      </c>
      <c r="D306" t="s">
        <v>16</v>
      </c>
      <c r="E306" t="s">
        <v>65</v>
      </c>
      <c r="F306">
        <v>3961000</v>
      </c>
      <c r="G306">
        <f>IF(F306="","",F306*Parameters!$B$1)</f>
        <v>831810</v>
      </c>
      <c r="H306">
        <v>1100</v>
      </c>
      <c r="I306">
        <f>IF(H306="","",H306*Parameters!$B$2)</f>
        <v>352000</v>
      </c>
      <c r="J306">
        <f t="shared" si="12"/>
        <v>1183810</v>
      </c>
      <c r="K306">
        <v>1200</v>
      </c>
      <c r="L306">
        <f>IF(K306="","",K306*Parameters!$B$2)</f>
        <v>384000</v>
      </c>
      <c r="M306">
        <f t="shared" si="13"/>
        <v>1215810</v>
      </c>
      <c r="N306">
        <v>500</v>
      </c>
      <c r="O306">
        <f>IF(N306="","",N306*Parameters!$B$2)</f>
        <v>160000</v>
      </c>
      <c r="P306">
        <f t="shared" si="14"/>
        <v>991810</v>
      </c>
    </row>
    <row r="307" spans="1:16">
      <c r="A307" t="s">
        <v>79</v>
      </c>
      <c r="B307" t="s">
        <v>259</v>
      </c>
      <c r="C307" t="s">
        <v>16</v>
      </c>
      <c r="D307" t="s">
        <v>16</v>
      </c>
      <c r="E307" t="s">
        <v>184</v>
      </c>
      <c r="F307">
        <v>3961000</v>
      </c>
      <c r="G307">
        <f>IF(F307="","",F307*Parameters!$B$1)</f>
        <v>831810</v>
      </c>
      <c r="H307">
        <v>1100</v>
      </c>
      <c r="I307">
        <f>IF(H307="","",H307*Parameters!$B$2)</f>
        <v>352000</v>
      </c>
      <c r="J307">
        <f t="shared" si="12"/>
        <v>1183810</v>
      </c>
      <c r="K307">
        <v>1200</v>
      </c>
      <c r="L307">
        <f>IF(K307="","",K307*Parameters!$B$2)</f>
        <v>384000</v>
      </c>
      <c r="M307">
        <f t="shared" si="13"/>
        <v>1215810</v>
      </c>
      <c r="N307">
        <v>500</v>
      </c>
      <c r="O307">
        <f>IF(N307="","",N307*Parameters!$B$2)</f>
        <v>160000</v>
      </c>
      <c r="P307">
        <f t="shared" si="14"/>
        <v>991810</v>
      </c>
    </row>
    <row r="308" spans="1:16">
      <c r="A308" t="s">
        <v>79</v>
      </c>
      <c r="B308" t="s">
        <v>260</v>
      </c>
      <c r="C308" t="s">
        <v>16</v>
      </c>
      <c r="D308" t="s">
        <v>16</v>
      </c>
      <c r="E308" t="s">
        <v>50</v>
      </c>
      <c r="F308">
        <v>3961000</v>
      </c>
      <c r="G308">
        <f>IF(F308="","",F308*Parameters!$B$1)</f>
        <v>831810</v>
      </c>
      <c r="H308">
        <v>1100</v>
      </c>
      <c r="I308">
        <f>IF(H308="","",H308*Parameters!$B$2)</f>
        <v>352000</v>
      </c>
      <c r="J308">
        <f t="shared" si="12"/>
        <v>1183810</v>
      </c>
      <c r="K308">
        <v>1200</v>
      </c>
      <c r="L308">
        <f>IF(K308="","",K308*Parameters!$B$2)</f>
        <v>384000</v>
      </c>
      <c r="M308">
        <f t="shared" si="13"/>
        <v>1215810</v>
      </c>
      <c r="N308">
        <v>500</v>
      </c>
      <c r="O308">
        <f>IF(N308="","",N308*Parameters!$B$2)</f>
        <v>160000</v>
      </c>
      <c r="P308">
        <f t="shared" si="14"/>
        <v>991810</v>
      </c>
    </row>
    <row r="309" spans="1:16">
      <c r="A309" t="s">
        <v>79</v>
      </c>
      <c r="B309" t="s">
        <v>260</v>
      </c>
      <c r="C309" t="s">
        <v>16</v>
      </c>
      <c r="D309" t="s">
        <v>16</v>
      </c>
      <c r="E309" t="s">
        <v>65</v>
      </c>
      <c r="F309">
        <v>3961000</v>
      </c>
      <c r="G309">
        <f>IF(F309="","",F309*Parameters!$B$1)</f>
        <v>831810</v>
      </c>
      <c r="H309">
        <v>1100</v>
      </c>
      <c r="I309">
        <f>IF(H309="","",H309*Parameters!$B$2)</f>
        <v>352000</v>
      </c>
      <c r="J309">
        <f t="shared" si="12"/>
        <v>1183810</v>
      </c>
      <c r="K309">
        <v>1200</v>
      </c>
      <c r="L309">
        <f>IF(K309="","",K309*Parameters!$B$2)</f>
        <v>384000</v>
      </c>
      <c r="M309">
        <f t="shared" si="13"/>
        <v>1215810</v>
      </c>
      <c r="N309">
        <v>500</v>
      </c>
      <c r="O309">
        <f>IF(N309="","",N309*Parameters!$B$2)</f>
        <v>160000</v>
      </c>
      <c r="P309">
        <f t="shared" si="14"/>
        <v>991810</v>
      </c>
    </row>
    <row r="310" spans="1:16">
      <c r="A310" t="s">
        <v>79</v>
      </c>
      <c r="B310" t="s">
        <v>260</v>
      </c>
      <c r="C310" t="s">
        <v>16</v>
      </c>
      <c r="D310" t="s">
        <v>16</v>
      </c>
      <c r="E310" t="s">
        <v>184</v>
      </c>
      <c r="F310">
        <v>3961000</v>
      </c>
      <c r="G310">
        <f>IF(F310="","",F310*Parameters!$B$1)</f>
        <v>831810</v>
      </c>
      <c r="H310">
        <v>1100</v>
      </c>
      <c r="I310">
        <f>IF(H310="","",H310*Parameters!$B$2)</f>
        <v>352000</v>
      </c>
      <c r="J310">
        <f t="shared" si="12"/>
        <v>1183810</v>
      </c>
      <c r="K310">
        <v>1200</v>
      </c>
      <c r="L310">
        <f>IF(K310="","",K310*Parameters!$B$2)</f>
        <v>384000</v>
      </c>
      <c r="M310">
        <f t="shared" si="13"/>
        <v>1215810</v>
      </c>
      <c r="N310">
        <v>500</v>
      </c>
      <c r="O310">
        <f>IF(N310="","",N310*Parameters!$B$2)</f>
        <v>160000</v>
      </c>
      <c r="P310">
        <f t="shared" si="14"/>
        <v>991810</v>
      </c>
    </row>
    <row r="311" spans="1:16">
      <c r="A311" t="s">
        <v>79</v>
      </c>
      <c r="B311" t="s">
        <v>261</v>
      </c>
      <c r="C311" t="s">
        <v>16</v>
      </c>
      <c r="D311" t="s">
        <v>16</v>
      </c>
      <c r="E311" t="s">
        <v>50</v>
      </c>
      <c r="F311">
        <v>3961000</v>
      </c>
      <c r="G311">
        <f>IF(F311="","",F311*Parameters!$B$1)</f>
        <v>831810</v>
      </c>
      <c r="H311">
        <v>1100</v>
      </c>
      <c r="I311">
        <f>IF(H311="","",H311*Parameters!$B$2)</f>
        <v>352000</v>
      </c>
      <c r="J311">
        <f t="shared" si="12"/>
        <v>1183810</v>
      </c>
      <c r="K311">
        <v>1200</v>
      </c>
      <c r="L311">
        <f>IF(K311="","",K311*Parameters!$B$2)</f>
        <v>384000</v>
      </c>
      <c r="M311">
        <f t="shared" si="13"/>
        <v>1215810</v>
      </c>
      <c r="N311">
        <v>500</v>
      </c>
      <c r="O311">
        <f>IF(N311="","",N311*Parameters!$B$2)</f>
        <v>160000</v>
      </c>
      <c r="P311">
        <f t="shared" si="14"/>
        <v>991810</v>
      </c>
    </row>
    <row r="312" spans="1:16">
      <c r="A312" t="s">
        <v>79</v>
      </c>
      <c r="B312" t="s">
        <v>261</v>
      </c>
      <c r="C312" t="s">
        <v>16</v>
      </c>
      <c r="D312" t="s">
        <v>16</v>
      </c>
      <c r="E312" t="s">
        <v>65</v>
      </c>
      <c r="F312">
        <v>3961000</v>
      </c>
      <c r="G312">
        <f>IF(F312="","",F312*Parameters!$B$1)</f>
        <v>831810</v>
      </c>
      <c r="H312">
        <v>1100</v>
      </c>
      <c r="I312">
        <f>IF(H312="","",H312*Parameters!$B$2)</f>
        <v>352000</v>
      </c>
      <c r="J312">
        <f t="shared" si="12"/>
        <v>1183810</v>
      </c>
      <c r="K312">
        <v>1200</v>
      </c>
      <c r="L312">
        <f>IF(K312="","",K312*Parameters!$B$2)</f>
        <v>384000</v>
      </c>
      <c r="M312">
        <f t="shared" si="13"/>
        <v>1215810</v>
      </c>
      <c r="N312">
        <v>500</v>
      </c>
      <c r="O312">
        <f>IF(N312="","",N312*Parameters!$B$2)</f>
        <v>160000</v>
      </c>
      <c r="P312">
        <f t="shared" si="14"/>
        <v>991810</v>
      </c>
    </row>
    <row r="313" spans="1:16">
      <c r="A313" t="s">
        <v>79</v>
      </c>
      <c r="B313" t="s">
        <v>261</v>
      </c>
      <c r="C313" t="s">
        <v>16</v>
      </c>
      <c r="D313" t="s">
        <v>16</v>
      </c>
      <c r="E313" t="s">
        <v>184</v>
      </c>
      <c r="F313">
        <v>3961000</v>
      </c>
      <c r="G313">
        <f>IF(F313="","",F313*Parameters!$B$1)</f>
        <v>831810</v>
      </c>
      <c r="H313">
        <v>1100</v>
      </c>
      <c r="I313">
        <f>IF(H313="","",H313*Parameters!$B$2)</f>
        <v>352000</v>
      </c>
      <c r="J313">
        <f t="shared" si="12"/>
        <v>1183810</v>
      </c>
      <c r="K313">
        <v>1200</v>
      </c>
      <c r="L313">
        <f>IF(K313="","",K313*Parameters!$B$2)</f>
        <v>384000</v>
      </c>
      <c r="M313">
        <f t="shared" si="13"/>
        <v>1215810</v>
      </c>
      <c r="N313">
        <v>500</v>
      </c>
      <c r="O313">
        <f>IF(N313="","",N313*Parameters!$B$2)</f>
        <v>160000</v>
      </c>
      <c r="P313">
        <f t="shared" si="14"/>
        <v>991810</v>
      </c>
    </row>
    <row r="314" spans="1:16">
      <c r="A314" t="s">
        <v>79</v>
      </c>
      <c r="B314" t="s">
        <v>262</v>
      </c>
      <c r="C314" t="s">
        <v>16</v>
      </c>
      <c r="D314" t="s">
        <v>16</v>
      </c>
      <c r="E314" t="s">
        <v>50</v>
      </c>
      <c r="F314">
        <v>3961000</v>
      </c>
      <c r="G314">
        <f>IF(F314="","",F314*Parameters!$B$1)</f>
        <v>831810</v>
      </c>
      <c r="H314">
        <v>1100</v>
      </c>
      <c r="I314">
        <f>IF(H314="","",H314*Parameters!$B$2)</f>
        <v>352000</v>
      </c>
      <c r="J314">
        <f t="shared" si="12"/>
        <v>1183810</v>
      </c>
      <c r="K314">
        <v>1200</v>
      </c>
      <c r="L314">
        <f>IF(K314="","",K314*Parameters!$B$2)</f>
        <v>384000</v>
      </c>
      <c r="M314">
        <f t="shared" si="13"/>
        <v>1215810</v>
      </c>
      <c r="N314">
        <v>500</v>
      </c>
      <c r="O314">
        <f>IF(N314="","",N314*Parameters!$B$2)</f>
        <v>160000</v>
      </c>
      <c r="P314">
        <f t="shared" si="14"/>
        <v>991810</v>
      </c>
    </row>
    <row r="315" spans="1:16">
      <c r="A315" t="s">
        <v>79</v>
      </c>
      <c r="B315" t="s">
        <v>262</v>
      </c>
      <c r="C315" t="s">
        <v>16</v>
      </c>
      <c r="D315" t="s">
        <v>16</v>
      </c>
      <c r="E315" t="s">
        <v>65</v>
      </c>
      <c r="F315">
        <v>3961000</v>
      </c>
      <c r="G315">
        <f>IF(F315="","",F315*Parameters!$B$1)</f>
        <v>831810</v>
      </c>
      <c r="H315">
        <v>1100</v>
      </c>
      <c r="I315">
        <f>IF(H315="","",H315*Parameters!$B$2)</f>
        <v>352000</v>
      </c>
      <c r="J315">
        <f t="shared" si="12"/>
        <v>1183810</v>
      </c>
      <c r="K315">
        <v>1200</v>
      </c>
      <c r="L315">
        <f>IF(K315="","",K315*Parameters!$B$2)</f>
        <v>384000</v>
      </c>
      <c r="M315">
        <f t="shared" si="13"/>
        <v>1215810</v>
      </c>
      <c r="N315">
        <v>500</v>
      </c>
      <c r="O315">
        <f>IF(N315="","",N315*Parameters!$B$2)</f>
        <v>160000</v>
      </c>
      <c r="P315">
        <f t="shared" si="14"/>
        <v>991810</v>
      </c>
    </row>
    <row r="316" spans="1:16">
      <c r="A316" t="s">
        <v>79</v>
      </c>
      <c r="B316" t="s">
        <v>262</v>
      </c>
      <c r="C316" t="s">
        <v>16</v>
      </c>
      <c r="D316" t="s">
        <v>16</v>
      </c>
      <c r="E316" t="s">
        <v>184</v>
      </c>
      <c r="F316">
        <v>3961000</v>
      </c>
      <c r="G316">
        <f>IF(F316="","",F316*Parameters!$B$1)</f>
        <v>831810</v>
      </c>
      <c r="H316">
        <v>1100</v>
      </c>
      <c r="I316">
        <f>IF(H316="","",H316*Parameters!$B$2)</f>
        <v>352000</v>
      </c>
      <c r="J316">
        <f t="shared" si="12"/>
        <v>1183810</v>
      </c>
      <c r="K316">
        <v>1200</v>
      </c>
      <c r="L316">
        <f>IF(K316="","",K316*Parameters!$B$2)</f>
        <v>384000</v>
      </c>
      <c r="M316">
        <f t="shared" si="13"/>
        <v>1215810</v>
      </c>
      <c r="N316">
        <v>500</v>
      </c>
      <c r="O316">
        <f>IF(N316="","",N316*Parameters!$B$2)</f>
        <v>160000</v>
      </c>
      <c r="P316">
        <f t="shared" si="14"/>
        <v>991810</v>
      </c>
    </row>
    <row r="317" spans="1:16">
      <c r="A317" t="s">
        <v>79</v>
      </c>
      <c r="B317" t="s">
        <v>263</v>
      </c>
      <c r="C317" t="s">
        <v>16</v>
      </c>
      <c r="D317" t="s">
        <v>16</v>
      </c>
      <c r="E317" t="s">
        <v>50</v>
      </c>
      <c r="F317">
        <v>3961000</v>
      </c>
      <c r="G317">
        <f>IF(F317="","",F317*Parameters!$B$1)</f>
        <v>831810</v>
      </c>
      <c r="H317">
        <v>1100</v>
      </c>
      <c r="I317">
        <f>IF(H317="","",H317*Parameters!$B$2)</f>
        <v>352000</v>
      </c>
      <c r="J317">
        <f t="shared" si="12"/>
        <v>1183810</v>
      </c>
      <c r="K317">
        <v>1200</v>
      </c>
      <c r="L317">
        <f>IF(K317="","",K317*Parameters!$B$2)</f>
        <v>384000</v>
      </c>
      <c r="M317">
        <f t="shared" si="13"/>
        <v>1215810</v>
      </c>
      <c r="N317">
        <v>500</v>
      </c>
      <c r="O317">
        <f>IF(N317="","",N317*Parameters!$B$2)</f>
        <v>160000</v>
      </c>
      <c r="P317">
        <f t="shared" si="14"/>
        <v>991810</v>
      </c>
    </row>
    <row r="318" spans="1:16">
      <c r="A318" t="s">
        <v>79</v>
      </c>
      <c r="B318" t="s">
        <v>263</v>
      </c>
      <c r="C318" t="s">
        <v>16</v>
      </c>
      <c r="D318" t="s">
        <v>16</v>
      </c>
      <c r="E318" t="s">
        <v>65</v>
      </c>
      <c r="F318">
        <v>3961000</v>
      </c>
      <c r="G318">
        <f>IF(F318="","",F318*Parameters!$B$1)</f>
        <v>831810</v>
      </c>
      <c r="H318">
        <v>1100</v>
      </c>
      <c r="I318">
        <f>IF(H318="","",H318*Parameters!$B$2)</f>
        <v>352000</v>
      </c>
      <c r="J318">
        <f t="shared" si="12"/>
        <v>1183810</v>
      </c>
      <c r="K318">
        <v>1200</v>
      </c>
      <c r="L318">
        <f>IF(K318="","",K318*Parameters!$B$2)</f>
        <v>384000</v>
      </c>
      <c r="M318">
        <f t="shared" si="13"/>
        <v>1215810</v>
      </c>
      <c r="N318">
        <v>500</v>
      </c>
      <c r="O318">
        <f>IF(N318="","",N318*Parameters!$B$2)</f>
        <v>160000</v>
      </c>
      <c r="P318">
        <f t="shared" si="14"/>
        <v>991810</v>
      </c>
    </row>
    <row r="319" spans="1:16">
      <c r="A319" t="s">
        <v>79</v>
      </c>
      <c r="B319" t="s">
        <v>263</v>
      </c>
      <c r="C319" t="s">
        <v>16</v>
      </c>
      <c r="D319" t="s">
        <v>16</v>
      </c>
      <c r="E319" t="s">
        <v>184</v>
      </c>
      <c r="F319">
        <v>3961000</v>
      </c>
      <c r="G319">
        <f>IF(F319="","",F319*Parameters!$B$1)</f>
        <v>831810</v>
      </c>
      <c r="H319">
        <v>1100</v>
      </c>
      <c r="I319">
        <f>IF(H319="","",H319*Parameters!$B$2)</f>
        <v>352000</v>
      </c>
      <c r="J319">
        <f t="shared" si="12"/>
        <v>1183810</v>
      </c>
      <c r="K319">
        <v>1200</v>
      </c>
      <c r="L319">
        <f>IF(K319="","",K319*Parameters!$B$2)</f>
        <v>384000</v>
      </c>
      <c r="M319">
        <f t="shared" si="13"/>
        <v>1215810</v>
      </c>
      <c r="N319">
        <v>500</v>
      </c>
      <c r="O319">
        <f>IF(N319="","",N319*Parameters!$B$2)</f>
        <v>160000</v>
      </c>
      <c r="P319">
        <f t="shared" si="14"/>
        <v>991810</v>
      </c>
    </row>
    <row r="320" spans="1:16">
      <c r="A320" t="s">
        <v>79</v>
      </c>
      <c r="B320" t="s">
        <v>264</v>
      </c>
      <c r="C320" t="s">
        <v>16</v>
      </c>
      <c r="D320" t="s">
        <v>16</v>
      </c>
      <c r="E320" t="s">
        <v>50</v>
      </c>
      <c r="F320">
        <v>3961000</v>
      </c>
      <c r="G320">
        <f>IF(F320="","",F320*Parameters!$B$1)</f>
        <v>831810</v>
      </c>
      <c r="H320">
        <v>1100</v>
      </c>
      <c r="I320">
        <f>IF(H320="","",H320*Parameters!$B$2)</f>
        <v>352000</v>
      </c>
      <c r="J320">
        <f t="shared" si="12"/>
        <v>1183810</v>
      </c>
      <c r="K320">
        <v>1200</v>
      </c>
      <c r="L320">
        <f>IF(K320="","",K320*Parameters!$B$2)</f>
        <v>384000</v>
      </c>
      <c r="M320">
        <f t="shared" si="13"/>
        <v>1215810</v>
      </c>
      <c r="N320">
        <v>500</v>
      </c>
      <c r="O320">
        <f>IF(N320="","",N320*Parameters!$B$2)</f>
        <v>160000</v>
      </c>
      <c r="P320">
        <f t="shared" si="14"/>
        <v>991810</v>
      </c>
    </row>
    <row r="321" spans="1:16">
      <c r="A321" t="s">
        <v>79</v>
      </c>
      <c r="B321" t="s">
        <v>264</v>
      </c>
      <c r="C321" t="s">
        <v>16</v>
      </c>
      <c r="D321" t="s">
        <v>16</v>
      </c>
      <c r="E321" t="s">
        <v>65</v>
      </c>
      <c r="F321">
        <v>3961000</v>
      </c>
      <c r="G321">
        <f>IF(F321="","",F321*Parameters!$B$1)</f>
        <v>831810</v>
      </c>
      <c r="H321">
        <v>1100</v>
      </c>
      <c r="I321">
        <f>IF(H321="","",H321*Parameters!$B$2)</f>
        <v>352000</v>
      </c>
      <c r="J321">
        <f t="shared" si="12"/>
        <v>1183810</v>
      </c>
      <c r="K321">
        <v>1200</v>
      </c>
      <c r="L321">
        <f>IF(K321="","",K321*Parameters!$B$2)</f>
        <v>384000</v>
      </c>
      <c r="M321">
        <f t="shared" si="13"/>
        <v>1215810</v>
      </c>
      <c r="N321">
        <v>500</v>
      </c>
      <c r="O321">
        <f>IF(N321="","",N321*Parameters!$B$2)</f>
        <v>160000</v>
      </c>
      <c r="P321">
        <f t="shared" si="14"/>
        <v>991810</v>
      </c>
    </row>
    <row r="322" spans="1:16">
      <c r="A322" t="s">
        <v>79</v>
      </c>
      <c r="B322" t="s">
        <v>264</v>
      </c>
      <c r="C322" t="s">
        <v>16</v>
      </c>
      <c r="D322" t="s">
        <v>16</v>
      </c>
      <c r="E322" t="s">
        <v>184</v>
      </c>
      <c r="F322">
        <v>3961000</v>
      </c>
      <c r="G322">
        <f>IF(F322="","",F322*Parameters!$B$1)</f>
        <v>831810</v>
      </c>
      <c r="H322">
        <v>1100</v>
      </c>
      <c r="I322">
        <f>IF(H322="","",H322*Parameters!$B$2)</f>
        <v>352000</v>
      </c>
      <c r="J322">
        <f t="shared" ref="J322:J385" si="15">IF(OR(G322="",I322=""),"",G322+I322)</f>
        <v>1183810</v>
      </c>
      <c r="K322">
        <v>1200</v>
      </c>
      <c r="L322">
        <f>IF(K322="","",K322*Parameters!$B$2)</f>
        <v>384000</v>
      </c>
      <c r="M322">
        <f t="shared" ref="M322:M385" si="16">IF(OR(G322="",L322=""),"",G322+L322)</f>
        <v>1215810</v>
      </c>
      <c r="N322">
        <v>500</v>
      </c>
      <c r="O322">
        <f>IF(N322="","",N322*Parameters!$B$2)</f>
        <v>160000</v>
      </c>
      <c r="P322">
        <f t="shared" ref="P322:P385" si="17">IF(OR(G322="",O322=""),"",G322+O322)</f>
        <v>991810</v>
      </c>
    </row>
    <row r="323" spans="1:16">
      <c r="A323" t="s">
        <v>79</v>
      </c>
      <c r="B323" t="s">
        <v>265</v>
      </c>
      <c r="C323" t="s">
        <v>16</v>
      </c>
      <c r="D323" t="s">
        <v>16</v>
      </c>
      <c r="E323" t="s">
        <v>50</v>
      </c>
      <c r="F323">
        <v>3961000</v>
      </c>
      <c r="G323">
        <f>IF(F323="","",F323*Parameters!$B$1)</f>
        <v>831810</v>
      </c>
      <c r="H323">
        <v>1100</v>
      </c>
      <c r="I323">
        <f>IF(H323="","",H323*Parameters!$B$2)</f>
        <v>352000</v>
      </c>
      <c r="J323">
        <f t="shared" si="15"/>
        <v>1183810</v>
      </c>
      <c r="K323">
        <v>1200</v>
      </c>
      <c r="L323">
        <f>IF(K323="","",K323*Parameters!$B$2)</f>
        <v>384000</v>
      </c>
      <c r="M323">
        <f t="shared" si="16"/>
        <v>1215810</v>
      </c>
      <c r="N323">
        <v>500</v>
      </c>
      <c r="O323">
        <f>IF(N323="","",N323*Parameters!$B$2)</f>
        <v>160000</v>
      </c>
      <c r="P323">
        <f t="shared" si="17"/>
        <v>991810</v>
      </c>
    </row>
    <row r="324" spans="1:16">
      <c r="A324" t="s">
        <v>79</v>
      </c>
      <c r="B324" t="s">
        <v>265</v>
      </c>
      <c r="C324" t="s">
        <v>16</v>
      </c>
      <c r="D324" t="s">
        <v>16</v>
      </c>
      <c r="E324" t="s">
        <v>65</v>
      </c>
      <c r="F324">
        <v>3961000</v>
      </c>
      <c r="G324">
        <f>IF(F324="","",F324*Parameters!$B$1)</f>
        <v>831810</v>
      </c>
      <c r="H324">
        <v>1100</v>
      </c>
      <c r="I324">
        <f>IF(H324="","",H324*Parameters!$B$2)</f>
        <v>352000</v>
      </c>
      <c r="J324">
        <f t="shared" si="15"/>
        <v>1183810</v>
      </c>
      <c r="K324">
        <v>1200</v>
      </c>
      <c r="L324">
        <f>IF(K324="","",K324*Parameters!$B$2)</f>
        <v>384000</v>
      </c>
      <c r="M324">
        <f t="shared" si="16"/>
        <v>1215810</v>
      </c>
      <c r="N324">
        <v>500</v>
      </c>
      <c r="O324">
        <f>IF(N324="","",N324*Parameters!$B$2)</f>
        <v>160000</v>
      </c>
      <c r="P324">
        <f t="shared" si="17"/>
        <v>991810</v>
      </c>
    </row>
    <row r="325" spans="1:16">
      <c r="A325" t="s">
        <v>79</v>
      </c>
      <c r="B325" t="s">
        <v>265</v>
      </c>
      <c r="C325" t="s">
        <v>16</v>
      </c>
      <c r="D325" t="s">
        <v>16</v>
      </c>
      <c r="E325" t="s">
        <v>184</v>
      </c>
      <c r="F325">
        <v>3961000</v>
      </c>
      <c r="G325">
        <f>IF(F325="","",F325*Parameters!$B$1)</f>
        <v>831810</v>
      </c>
      <c r="H325">
        <v>1100</v>
      </c>
      <c r="I325">
        <f>IF(H325="","",H325*Parameters!$B$2)</f>
        <v>352000</v>
      </c>
      <c r="J325">
        <f t="shared" si="15"/>
        <v>1183810</v>
      </c>
      <c r="K325">
        <v>1200</v>
      </c>
      <c r="L325">
        <f>IF(K325="","",K325*Parameters!$B$2)</f>
        <v>384000</v>
      </c>
      <c r="M325">
        <f t="shared" si="16"/>
        <v>1215810</v>
      </c>
      <c r="N325">
        <v>500</v>
      </c>
      <c r="O325">
        <f>IF(N325="","",N325*Parameters!$B$2)</f>
        <v>160000</v>
      </c>
      <c r="P325">
        <f t="shared" si="17"/>
        <v>991810</v>
      </c>
    </row>
    <row r="326" spans="1:16">
      <c r="A326" t="s">
        <v>79</v>
      </c>
      <c r="B326" t="s">
        <v>266</v>
      </c>
      <c r="C326" t="s">
        <v>16</v>
      </c>
      <c r="D326" t="s">
        <v>16</v>
      </c>
      <c r="E326" t="s">
        <v>50</v>
      </c>
      <c r="F326">
        <v>3961000</v>
      </c>
      <c r="G326">
        <f>IF(F326="","",F326*Parameters!$B$1)</f>
        <v>831810</v>
      </c>
      <c r="H326">
        <v>1100</v>
      </c>
      <c r="I326">
        <f>IF(H326="","",H326*Parameters!$B$2)</f>
        <v>352000</v>
      </c>
      <c r="J326">
        <f t="shared" si="15"/>
        <v>1183810</v>
      </c>
      <c r="K326">
        <v>1200</v>
      </c>
      <c r="L326">
        <f>IF(K326="","",K326*Parameters!$B$2)</f>
        <v>384000</v>
      </c>
      <c r="M326">
        <f t="shared" si="16"/>
        <v>1215810</v>
      </c>
      <c r="N326">
        <v>500</v>
      </c>
      <c r="O326">
        <f>IF(N326="","",N326*Parameters!$B$2)</f>
        <v>160000</v>
      </c>
      <c r="P326">
        <f t="shared" si="17"/>
        <v>991810</v>
      </c>
    </row>
    <row r="327" spans="1:16">
      <c r="A327" t="s">
        <v>79</v>
      </c>
      <c r="B327" t="s">
        <v>266</v>
      </c>
      <c r="C327" t="s">
        <v>16</v>
      </c>
      <c r="D327" t="s">
        <v>16</v>
      </c>
      <c r="E327" t="s">
        <v>65</v>
      </c>
      <c r="F327">
        <v>3961000</v>
      </c>
      <c r="G327">
        <f>IF(F327="","",F327*Parameters!$B$1)</f>
        <v>831810</v>
      </c>
      <c r="H327">
        <v>1100</v>
      </c>
      <c r="I327">
        <f>IF(H327="","",H327*Parameters!$B$2)</f>
        <v>352000</v>
      </c>
      <c r="J327">
        <f t="shared" si="15"/>
        <v>1183810</v>
      </c>
      <c r="K327">
        <v>1200</v>
      </c>
      <c r="L327">
        <f>IF(K327="","",K327*Parameters!$B$2)</f>
        <v>384000</v>
      </c>
      <c r="M327">
        <f t="shared" si="16"/>
        <v>1215810</v>
      </c>
      <c r="N327">
        <v>500</v>
      </c>
      <c r="O327">
        <f>IF(N327="","",N327*Parameters!$B$2)</f>
        <v>160000</v>
      </c>
      <c r="P327">
        <f t="shared" si="17"/>
        <v>991810</v>
      </c>
    </row>
    <row r="328" spans="1:16">
      <c r="A328" t="s">
        <v>79</v>
      </c>
      <c r="B328" t="s">
        <v>266</v>
      </c>
      <c r="C328" t="s">
        <v>16</v>
      </c>
      <c r="D328" t="s">
        <v>16</v>
      </c>
      <c r="E328" t="s">
        <v>184</v>
      </c>
      <c r="F328">
        <v>3961000</v>
      </c>
      <c r="G328">
        <f>IF(F328="","",F328*Parameters!$B$1)</f>
        <v>831810</v>
      </c>
      <c r="H328">
        <v>1100</v>
      </c>
      <c r="I328">
        <f>IF(H328="","",H328*Parameters!$B$2)</f>
        <v>352000</v>
      </c>
      <c r="J328">
        <f t="shared" si="15"/>
        <v>1183810</v>
      </c>
      <c r="K328">
        <v>1200</v>
      </c>
      <c r="L328">
        <f>IF(K328="","",K328*Parameters!$B$2)</f>
        <v>384000</v>
      </c>
      <c r="M328">
        <f t="shared" si="16"/>
        <v>1215810</v>
      </c>
      <c r="N328">
        <v>500</v>
      </c>
      <c r="O328">
        <f>IF(N328="","",N328*Parameters!$B$2)</f>
        <v>160000</v>
      </c>
      <c r="P328">
        <f t="shared" si="17"/>
        <v>991810</v>
      </c>
    </row>
    <row r="329" spans="1:16">
      <c r="A329" t="s">
        <v>79</v>
      </c>
      <c r="B329" t="s">
        <v>267</v>
      </c>
      <c r="C329" t="s">
        <v>16</v>
      </c>
      <c r="D329" t="s">
        <v>16</v>
      </c>
      <c r="E329" t="s">
        <v>50</v>
      </c>
      <c r="F329">
        <v>3961000</v>
      </c>
      <c r="G329">
        <f>IF(F329="","",F329*Parameters!$B$1)</f>
        <v>831810</v>
      </c>
      <c r="H329">
        <v>1100</v>
      </c>
      <c r="I329">
        <f>IF(H329="","",H329*Parameters!$B$2)</f>
        <v>352000</v>
      </c>
      <c r="J329">
        <f t="shared" si="15"/>
        <v>1183810</v>
      </c>
      <c r="K329">
        <v>1200</v>
      </c>
      <c r="L329">
        <f>IF(K329="","",K329*Parameters!$B$2)</f>
        <v>384000</v>
      </c>
      <c r="M329">
        <f t="shared" si="16"/>
        <v>1215810</v>
      </c>
      <c r="N329">
        <v>500</v>
      </c>
      <c r="O329">
        <f>IF(N329="","",N329*Parameters!$B$2)</f>
        <v>160000</v>
      </c>
      <c r="P329">
        <f t="shared" si="17"/>
        <v>991810</v>
      </c>
    </row>
    <row r="330" spans="1:16">
      <c r="A330" t="s">
        <v>79</v>
      </c>
      <c r="B330" t="s">
        <v>267</v>
      </c>
      <c r="C330" t="s">
        <v>16</v>
      </c>
      <c r="D330" t="s">
        <v>16</v>
      </c>
      <c r="E330" t="s">
        <v>65</v>
      </c>
      <c r="F330">
        <v>3961000</v>
      </c>
      <c r="G330">
        <f>IF(F330="","",F330*Parameters!$B$1)</f>
        <v>831810</v>
      </c>
      <c r="H330">
        <v>1100</v>
      </c>
      <c r="I330">
        <f>IF(H330="","",H330*Parameters!$B$2)</f>
        <v>352000</v>
      </c>
      <c r="J330">
        <f t="shared" si="15"/>
        <v>1183810</v>
      </c>
      <c r="K330">
        <v>1200</v>
      </c>
      <c r="L330">
        <f>IF(K330="","",K330*Parameters!$B$2)</f>
        <v>384000</v>
      </c>
      <c r="M330">
        <f t="shared" si="16"/>
        <v>1215810</v>
      </c>
      <c r="N330">
        <v>500</v>
      </c>
      <c r="O330">
        <f>IF(N330="","",N330*Parameters!$B$2)</f>
        <v>160000</v>
      </c>
      <c r="P330">
        <f t="shared" si="17"/>
        <v>991810</v>
      </c>
    </row>
    <row r="331" spans="1:16">
      <c r="A331" t="s">
        <v>79</v>
      </c>
      <c r="B331" t="s">
        <v>267</v>
      </c>
      <c r="C331" t="s">
        <v>16</v>
      </c>
      <c r="D331" t="s">
        <v>16</v>
      </c>
      <c r="E331" t="s">
        <v>184</v>
      </c>
      <c r="F331">
        <v>3961000</v>
      </c>
      <c r="G331">
        <f>IF(F331="","",F331*Parameters!$B$1)</f>
        <v>831810</v>
      </c>
      <c r="H331">
        <v>1100</v>
      </c>
      <c r="I331">
        <f>IF(H331="","",H331*Parameters!$B$2)</f>
        <v>352000</v>
      </c>
      <c r="J331">
        <f t="shared" si="15"/>
        <v>1183810</v>
      </c>
      <c r="K331">
        <v>1200</v>
      </c>
      <c r="L331">
        <f>IF(K331="","",K331*Parameters!$B$2)</f>
        <v>384000</v>
      </c>
      <c r="M331">
        <f t="shared" si="16"/>
        <v>1215810</v>
      </c>
      <c r="N331">
        <v>500</v>
      </c>
      <c r="O331">
        <f>IF(N331="","",N331*Parameters!$B$2)</f>
        <v>160000</v>
      </c>
      <c r="P331">
        <f t="shared" si="17"/>
        <v>991810</v>
      </c>
    </row>
    <row r="332" spans="1:16">
      <c r="A332" t="s">
        <v>79</v>
      </c>
      <c r="B332" t="s">
        <v>268</v>
      </c>
      <c r="C332" t="s">
        <v>16</v>
      </c>
      <c r="D332" t="s">
        <v>16</v>
      </c>
      <c r="E332" t="s">
        <v>50</v>
      </c>
      <c r="F332">
        <v>3961000</v>
      </c>
      <c r="G332">
        <f>IF(F332="","",F332*Parameters!$B$1)</f>
        <v>831810</v>
      </c>
      <c r="H332">
        <v>1100</v>
      </c>
      <c r="I332">
        <f>IF(H332="","",H332*Parameters!$B$2)</f>
        <v>352000</v>
      </c>
      <c r="J332">
        <f t="shared" si="15"/>
        <v>1183810</v>
      </c>
      <c r="K332">
        <v>1200</v>
      </c>
      <c r="L332">
        <f>IF(K332="","",K332*Parameters!$B$2)</f>
        <v>384000</v>
      </c>
      <c r="M332">
        <f t="shared" si="16"/>
        <v>1215810</v>
      </c>
      <c r="N332">
        <v>500</v>
      </c>
      <c r="O332">
        <f>IF(N332="","",N332*Parameters!$B$2)</f>
        <v>160000</v>
      </c>
      <c r="P332">
        <f t="shared" si="17"/>
        <v>991810</v>
      </c>
    </row>
    <row r="333" spans="1:16">
      <c r="A333" t="s">
        <v>79</v>
      </c>
      <c r="B333" t="s">
        <v>268</v>
      </c>
      <c r="C333" t="s">
        <v>16</v>
      </c>
      <c r="D333" t="s">
        <v>16</v>
      </c>
      <c r="E333" t="s">
        <v>65</v>
      </c>
      <c r="F333">
        <v>3961000</v>
      </c>
      <c r="G333">
        <f>IF(F333="","",F333*Parameters!$B$1)</f>
        <v>831810</v>
      </c>
      <c r="H333">
        <v>1100</v>
      </c>
      <c r="I333">
        <f>IF(H333="","",H333*Parameters!$B$2)</f>
        <v>352000</v>
      </c>
      <c r="J333">
        <f t="shared" si="15"/>
        <v>1183810</v>
      </c>
      <c r="K333">
        <v>1200</v>
      </c>
      <c r="L333">
        <f>IF(K333="","",K333*Parameters!$B$2)</f>
        <v>384000</v>
      </c>
      <c r="M333">
        <f t="shared" si="16"/>
        <v>1215810</v>
      </c>
      <c r="N333">
        <v>500</v>
      </c>
      <c r="O333">
        <f>IF(N333="","",N333*Parameters!$B$2)</f>
        <v>160000</v>
      </c>
      <c r="P333">
        <f t="shared" si="17"/>
        <v>991810</v>
      </c>
    </row>
    <row r="334" spans="1:16">
      <c r="A334" t="s">
        <v>79</v>
      </c>
      <c r="B334" t="s">
        <v>268</v>
      </c>
      <c r="C334" t="s">
        <v>16</v>
      </c>
      <c r="D334" t="s">
        <v>16</v>
      </c>
      <c r="E334" t="s">
        <v>184</v>
      </c>
      <c r="F334">
        <v>3961000</v>
      </c>
      <c r="G334">
        <f>IF(F334="","",F334*Parameters!$B$1)</f>
        <v>831810</v>
      </c>
      <c r="H334">
        <v>1100</v>
      </c>
      <c r="I334">
        <f>IF(H334="","",H334*Parameters!$B$2)</f>
        <v>352000</v>
      </c>
      <c r="J334">
        <f t="shared" si="15"/>
        <v>1183810</v>
      </c>
      <c r="K334">
        <v>1200</v>
      </c>
      <c r="L334">
        <f>IF(K334="","",K334*Parameters!$B$2)</f>
        <v>384000</v>
      </c>
      <c r="M334">
        <f t="shared" si="16"/>
        <v>1215810</v>
      </c>
      <c r="N334">
        <v>500</v>
      </c>
      <c r="O334">
        <f>IF(N334="","",N334*Parameters!$B$2)</f>
        <v>160000</v>
      </c>
      <c r="P334">
        <f t="shared" si="17"/>
        <v>991810</v>
      </c>
    </row>
    <row r="335" spans="1:16">
      <c r="A335" t="s">
        <v>79</v>
      </c>
      <c r="B335" t="s">
        <v>269</v>
      </c>
      <c r="C335" t="s">
        <v>16</v>
      </c>
      <c r="D335" t="s">
        <v>16</v>
      </c>
      <c r="E335" t="s">
        <v>50</v>
      </c>
      <c r="F335">
        <v>3961000</v>
      </c>
      <c r="G335">
        <f>IF(F335="","",F335*Parameters!$B$1)</f>
        <v>831810</v>
      </c>
      <c r="H335">
        <v>1100</v>
      </c>
      <c r="I335">
        <f>IF(H335="","",H335*Parameters!$B$2)</f>
        <v>352000</v>
      </c>
      <c r="J335">
        <f t="shared" si="15"/>
        <v>1183810</v>
      </c>
      <c r="K335">
        <v>1200</v>
      </c>
      <c r="L335">
        <f>IF(K335="","",K335*Parameters!$B$2)</f>
        <v>384000</v>
      </c>
      <c r="M335">
        <f t="shared" si="16"/>
        <v>1215810</v>
      </c>
      <c r="N335">
        <v>500</v>
      </c>
      <c r="O335">
        <f>IF(N335="","",N335*Parameters!$B$2)</f>
        <v>160000</v>
      </c>
      <c r="P335">
        <f t="shared" si="17"/>
        <v>991810</v>
      </c>
    </row>
    <row r="336" spans="1:16">
      <c r="A336" t="s">
        <v>79</v>
      </c>
      <c r="B336" t="s">
        <v>269</v>
      </c>
      <c r="C336" t="s">
        <v>16</v>
      </c>
      <c r="D336" t="s">
        <v>16</v>
      </c>
      <c r="E336" t="s">
        <v>65</v>
      </c>
      <c r="F336">
        <v>3961000</v>
      </c>
      <c r="G336">
        <f>IF(F336="","",F336*Parameters!$B$1)</f>
        <v>831810</v>
      </c>
      <c r="H336">
        <v>1100</v>
      </c>
      <c r="I336">
        <f>IF(H336="","",H336*Parameters!$B$2)</f>
        <v>352000</v>
      </c>
      <c r="J336">
        <f t="shared" si="15"/>
        <v>1183810</v>
      </c>
      <c r="K336">
        <v>1200</v>
      </c>
      <c r="L336">
        <f>IF(K336="","",K336*Parameters!$B$2)</f>
        <v>384000</v>
      </c>
      <c r="M336">
        <f t="shared" si="16"/>
        <v>1215810</v>
      </c>
      <c r="N336">
        <v>500</v>
      </c>
      <c r="O336">
        <f>IF(N336="","",N336*Parameters!$B$2)</f>
        <v>160000</v>
      </c>
      <c r="P336">
        <f t="shared" si="17"/>
        <v>991810</v>
      </c>
    </row>
    <row r="337" spans="1:16">
      <c r="A337" t="s">
        <v>79</v>
      </c>
      <c r="B337" t="s">
        <v>269</v>
      </c>
      <c r="C337" t="s">
        <v>16</v>
      </c>
      <c r="D337" t="s">
        <v>16</v>
      </c>
      <c r="E337" t="s">
        <v>184</v>
      </c>
      <c r="F337">
        <v>3961000</v>
      </c>
      <c r="G337">
        <f>IF(F337="","",F337*Parameters!$B$1)</f>
        <v>831810</v>
      </c>
      <c r="H337">
        <v>1100</v>
      </c>
      <c r="I337">
        <f>IF(H337="","",H337*Parameters!$B$2)</f>
        <v>352000</v>
      </c>
      <c r="J337">
        <f t="shared" si="15"/>
        <v>1183810</v>
      </c>
      <c r="K337">
        <v>1200</v>
      </c>
      <c r="L337">
        <f>IF(K337="","",K337*Parameters!$B$2)</f>
        <v>384000</v>
      </c>
      <c r="M337">
        <f t="shared" si="16"/>
        <v>1215810</v>
      </c>
      <c r="N337">
        <v>500</v>
      </c>
      <c r="O337">
        <f>IF(N337="","",N337*Parameters!$B$2)</f>
        <v>160000</v>
      </c>
      <c r="P337">
        <f t="shared" si="17"/>
        <v>991810</v>
      </c>
    </row>
    <row r="338" spans="1:16">
      <c r="A338" t="s">
        <v>79</v>
      </c>
      <c r="B338" t="s">
        <v>270</v>
      </c>
      <c r="C338" t="s">
        <v>16</v>
      </c>
      <c r="D338" t="s">
        <v>16</v>
      </c>
      <c r="E338" t="s">
        <v>50</v>
      </c>
      <c r="F338">
        <v>3961000</v>
      </c>
      <c r="G338">
        <f>IF(F338="","",F338*Parameters!$B$1)</f>
        <v>831810</v>
      </c>
      <c r="H338">
        <v>1100</v>
      </c>
      <c r="I338">
        <f>IF(H338="","",H338*Parameters!$B$2)</f>
        <v>352000</v>
      </c>
      <c r="J338">
        <f t="shared" si="15"/>
        <v>1183810</v>
      </c>
      <c r="K338">
        <v>1200</v>
      </c>
      <c r="L338">
        <f>IF(K338="","",K338*Parameters!$B$2)</f>
        <v>384000</v>
      </c>
      <c r="M338">
        <f t="shared" si="16"/>
        <v>1215810</v>
      </c>
      <c r="N338">
        <v>500</v>
      </c>
      <c r="O338">
        <f>IF(N338="","",N338*Parameters!$B$2)</f>
        <v>160000</v>
      </c>
      <c r="P338">
        <f t="shared" si="17"/>
        <v>991810</v>
      </c>
    </row>
    <row r="339" spans="1:16">
      <c r="A339" t="s">
        <v>79</v>
      </c>
      <c r="B339" t="s">
        <v>270</v>
      </c>
      <c r="C339" t="s">
        <v>16</v>
      </c>
      <c r="D339" t="s">
        <v>16</v>
      </c>
      <c r="E339" t="s">
        <v>65</v>
      </c>
      <c r="F339">
        <v>3961000</v>
      </c>
      <c r="G339">
        <f>IF(F339="","",F339*Parameters!$B$1)</f>
        <v>831810</v>
      </c>
      <c r="H339">
        <v>1100</v>
      </c>
      <c r="I339">
        <f>IF(H339="","",H339*Parameters!$B$2)</f>
        <v>352000</v>
      </c>
      <c r="J339">
        <f t="shared" si="15"/>
        <v>1183810</v>
      </c>
      <c r="K339">
        <v>1200</v>
      </c>
      <c r="L339">
        <f>IF(K339="","",K339*Parameters!$B$2)</f>
        <v>384000</v>
      </c>
      <c r="M339">
        <f t="shared" si="16"/>
        <v>1215810</v>
      </c>
      <c r="N339">
        <v>500</v>
      </c>
      <c r="O339">
        <f>IF(N339="","",N339*Parameters!$B$2)</f>
        <v>160000</v>
      </c>
      <c r="P339">
        <f t="shared" si="17"/>
        <v>991810</v>
      </c>
    </row>
    <row r="340" spans="1:16">
      <c r="A340" t="s">
        <v>79</v>
      </c>
      <c r="B340" t="s">
        <v>270</v>
      </c>
      <c r="C340" t="s">
        <v>16</v>
      </c>
      <c r="D340" t="s">
        <v>16</v>
      </c>
      <c r="E340" t="s">
        <v>184</v>
      </c>
      <c r="F340">
        <v>3961000</v>
      </c>
      <c r="G340">
        <f>IF(F340="","",F340*Parameters!$B$1)</f>
        <v>831810</v>
      </c>
      <c r="H340">
        <v>1100</v>
      </c>
      <c r="I340">
        <f>IF(H340="","",H340*Parameters!$B$2)</f>
        <v>352000</v>
      </c>
      <c r="J340">
        <f t="shared" si="15"/>
        <v>1183810</v>
      </c>
      <c r="K340">
        <v>1200</v>
      </c>
      <c r="L340">
        <f>IF(K340="","",K340*Parameters!$B$2)</f>
        <v>384000</v>
      </c>
      <c r="M340">
        <f t="shared" si="16"/>
        <v>1215810</v>
      </c>
      <c r="N340">
        <v>500</v>
      </c>
      <c r="O340">
        <f>IF(N340="","",N340*Parameters!$B$2)</f>
        <v>160000</v>
      </c>
      <c r="P340">
        <f t="shared" si="17"/>
        <v>991810</v>
      </c>
    </row>
    <row r="341" spans="1:16">
      <c r="A341" t="s">
        <v>79</v>
      </c>
      <c r="B341" t="s">
        <v>271</v>
      </c>
      <c r="C341" t="s">
        <v>16</v>
      </c>
      <c r="D341" t="s">
        <v>16</v>
      </c>
      <c r="E341" t="s">
        <v>50</v>
      </c>
      <c r="F341">
        <v>3961000</v>
      </c>
      <c r="G341">
        <f>IF(F341="","",F341*Parameters!$B$1)</f>
        <v>831810</v>
      </c>
      <c r="H341">
        <v>1100</v>
      </c>
      <c r="I341">
        <f>IF(H341="","",H341*Parameters!$B$2)</f>
        <v>352000</v>
      </c>
      <c r="J341">
        <f t="shared" si="15"/>
        <v>1183810</v>
      </c>
      <c r="K341">
        <v>1200</v>
      </c>
      <c r="L341">
        <f>IF(K341="","",K341*Parameters!$B$2)</f>
        <v>384000</v>
      </c>
      <c r="M341">
        <f t="shared" si="16"/>
        <v>1215810</v>
      </c>
      <c r="N341">
        <v>500</v>
      </c>
      <c r="O341">
        <f>IF(N341="","",N341*Parameters!$B$2)</f>
        <v>160000</v>
      </c>
      <c r="P341">
        <f t="shared" si="17"/>
        <v>991810</v>
      </c>
    </row>
    <row r="342" spans="1:16">
      <c r="A342" t="s">
        <v>79</v>
      </c>
      <c r="B342" t="s">
        <v>271</v>
      </c>
      <c r="C342" t="s">
        <v>16</v>
      </c>
      <c r="D342" t="s">
        <v>16</v>
      </c>
      <c r="E342" t="s">
        <v>65</v>
      </c>
      <c r="F342">
        <v>3961000</v>
      </c>
      <c r="G342">
        <f>IF(F342="","",F342*Parameters!$B$1)</f>
        <v>831810</v>
      </c>
      <c r="H342">
        <v>1100</v>
      </c>
      <c r="I342">
        <f>IF(H342="","",H342*Parameters!$B$2)</f>
        <v>352000</v>
      </c>
      <c r="J342">
        <f t="shared" si="15"/>
        <v>1183810</v>
      </c>
      <c r="K342">
        <v>1200</v>
      </c>
      <c r="L342">
        <f>IF(K342="","",K342*Parameters!$B$2)</f>
        <v>384000</v>
      </c>
      <c r="M342">
        <f t="shared" si="16"/>
        <v>1215810</v>
      </c>
      <c r="N342">
        <v>500</v>
      </c>
      <c r="O342">
        <f>IF(N342="","",N342*Parameters!$B$2)</f>
        <v>160000</v>
      </c>
      <c r="P342">
        <f t="shared" si="17"/>
        <v>991810</v>
      </c>
    </row>
    <row r="343" spans="1:16">
      <c r="A343" t="s">
        <v>79</v>
      </c>
      <c r="B343" t="s">
        <v>271</v>
      </c>
      <c r="C343" t="s">
        <v>16</v>
      </c>
      <c r="D343" t="s">
        <v>16</v>
      </c>
      <c r="E343" t="s">
        <v>184</v>
      </c>
      <c r="F343">
        <v>3961000</v>
      </c>
      <c r="G343">
        <f>IF(F343="","",F343*Parameters!$B$1)</f>
        <v>831810</v>
      </c>
      <c r="H343">
        <v>1100</v>
      </c>
      <c r="I343">
        <f>IF(H343="","",H343*Parameters!$B$2)</f>
        <v>352000</v>
      </c>
      <c r="J343">
        <f t="shared" si="15"/>
        <v>1183810</v>
      </c>
      <c r="K343">
        <v>1200</v>
      </c>
      <c r="L343">
        <f>IF(K343="","",K343*Parameters!$B$2)</f>
        <v>384000</v>
      </c>
      <c r="M343">
        <f t="shared" si="16"/>
        <v>1215810</v>
      </c>
      <c r="N343">
        <v>500</v>
      </c>
      <c r="O343">
        <f>IF(N343="","",N343*Parameters!$B$2)</f>
        <v>160000</v>
      </c>
      <c r="P343">
        <f t="shared" si="17"/>
        <v>991810</v>
      </c>
    </row>
    <row r="344" spans="1:16">
      <c r="A344" t="s">
        <v>79</v>
      </c>
      <c r="B344" t="s">
        <v>272</v>
      </c>
      <c r="C344" t="s">
        <v>16</v>
      </c>
      <c r="D344" t="s">
        <v>16</v>
      </c>
      <c r="E344" t="s">
        <v>50</v>
      </c>
      <c r="F344">
        <v>3961000</v>
      </c>
      <c r="G344">
        <f>IF(F344="","",F344*Parameters!$B$1)</f>
        <v>831810</v>
      </c>
      <c r="H344">
        <v>1100</v>
      </c>
      <c r="I344">
        <f>IF(H344="","",H344*Parameters!$B$2)</f>
        <v>352000</v>
      </c>
      <c r="J344">
        <f t="shared" si="15"/>
        <v>1183810</v>
      </c>
      <c r="K344">
        <v>1200</v>
      </c>
      <c r="L344">
        <f>IF(K344="","",K344*Parameters!$B$2)</f>
        <v>384000</v>
      </c>
      <c r="M344">
        <f t="shared" si="16"/>
        <v>1215810</v>
      </c>
      <c r="N344">
        <v>500</v>
      </c>
      <c r="O344">
        <f>IF(N344="","",N344*Parameters!$B$2)</f>
        <v>160000</v>
      </c>
      <c r="P344">
        <f t="shared" si="17"/>
        <v>991810</v>
      </c>
    </row>
    <row r="345" spans="1:16">
      <c r="A345" t="s">
        <v>79</v>
      </c>
      <c r="B345" t="s">
        <v>272</v>
      </c>
      <c r="C345" t="s">
        <v>16</v>
      </c>
      <c r="D345" t="s">
        <v>16</v>
      </c>
      <c r="E345" t="s">
        <v>65</v>
      </c>
      <c r="F345">
        <v>3961000</v>
      </c>
      <c r="G345">
        <f>IF(F345="","",F345*Parameters!$B$1)</f>
        <v>831810</v>
      </c>
      <c r="H345">
        <v>1100</v>
      </c>
      <c r="I345">
        <f>IF(H345="","",H345*Parameters!$B$2)</f>
        <v>352000</v>
      </c>
      <c r="J345">
        <f t="shared" si="15"/>
        <v>1183810</v>
      </c>
      <c r="K345">
        <v>1200</v>
      </c>
      <c r="L345">
        <f>IF(K345="","",K345*Parameters!$B$2)</f>
        <v>384000</v>
      </c>
      <c r="M345">
        <f t="shared" si="16"/>
        <v>1215810</v>
      </c>
      <c r="N345">
        <v>500</v>
      </c>
      <c r="O345">
        <f>IF(N345="","",N345*Parameters!$B$2)</f>
        <v>160000</v>
      </c>
      <c r="P345">
        <f t="shared" si="17"/>
        <v>991810</v>
      </c>
    </row>
    <row r="346" spans="1:16">
      <c r="A346" t="s">
        <v>79</v>
      </c>
      <c r="B346" t="s">
        <v>272</v>
      </c>
      <c r="C346" t="s">
        <v>16</v>
      </c>
      <c r="D346" t="s">
        <v>16</v>
      </c>
      <c r="E346" t="s">
        <v>184</v>
      </c>
      <c r="F346">
        <v>3961000</v>
      </c>
      <c r="G346">
        <f>IF(F346="","",F346*Parameters!$B$1)</f>
        <v>831810</v>
      </c>
      <c r="H346">
        <v>1100</v>
      </c>
      <c r="I346">
        <f>IF(H346="","",H346*Parameters!$B$2)</f>
        <v>352000</v>
      </c>
      <c r="J346">
        <f t="shared" si="15"/>
        <v>1183810</v>
      </c>
      <c r="K346">
        <v>1200</v>
      </c>
      <c r="L346">
        <f>IF(K346="","",K346*Parameters!$B$2)</f>
        <v>384000</v>
      </c>
      <c r="M346">
        <f t="shared" si="16"/>
        <v>1215810</v>
      </c>
      <c r="N346">
        <v>500</v>
      </c>
      <c r="O346">
        <f>IF(N346="","",N346*Parameters!$B$2)</f>
        <v>160000</v>
      </c>
      <c r="P346">
        <f t="shared" si="17"/>
        <v>991810</v>
      </c>
    </row>
    <row r="347" spans="1:16">
      <c r="A347" t="s">
        <v>79</v>
      </c>
      <c r="B347" t="s">
        <v>273</v>
      </c>
      <c r="C347" t="s">
        <v>16</v>
      </c>
      <c r="D347" t="s">
        <v>15</v>
      </c>
      <c r="E347" t="s">
        <v>50</v>
      </c>
      <c r="F347">
        <v>3961000</v>
      </c>
      <c r="G347">
        <f>IF(F347="","",F347*Parameters!$B$1)</f>
        <v>831810</v>
      </c>
      <c r="H347">
        <v>1100</v>
      </c>
      <c r="I347">
        <f>IF(H347="","",H347*Parameters!$B$2)</f>
        <v>352000</v>
      </c>
      <c r="J347">
        <f t="shared" si="15"/>
        <v>1183810</v>
      </c>
      <c r="K347">
        <v>1200</v>
      </c>
      <c r="L347">
        <f>IF(K347="","",K347*Parameters!$B$2)</f>
        <v>384000</v>
      </c>
      <c r="M347">
        <f t="shared" si="16"/>
        <v>1215810</v>
      </c>
      <c r="N347">
        <v>500</v>
      </c>
      <c r="O347">
        <f>IF(N347="","",N347*Parameters!$B$2)</f>
        <v>160000</v>
      </c>
      <c r="P347">
        <f t="shared" si="17"/>
        <v>991810</v>
      </c>
    </row>
    <row r="348" spans="1:16">
      <c r="A348" t="s">
        <v>79</v>
      </c>
      <c r="B348" t="s">
        <v>273</v>
      </c>
      <c r="C348" t="s">
        <v>16</v>
      </c>
      <c r="D348" t="s">
        <v>15</v>
      </c>
      <c r="E348" t="s">
        <v>65</v>
      </c>
      <c r="F348">
        <v>3961000</v>
      </c>
      <c r="G348">
        <f>IF(F348="","",F348*Parameters!$B$1)</f>
        <v>831810</v>
      </c>
      <c r="H348">
        <v>1100</v>
      </c>
      <c r="I348">
        <f>IF(H348="","",H348*Parameters!$B$2)</f>
        <v>352000</v>
      </c>
      <c r="J348">
        <f t="shared" si="15"/>
        <v>1183810</v>
      </c>
      <c r="K348">
        <v>1200</v>
      </c>
      <c r="L348">
        <f>IF(K348="","",K348*Parameters!$B$2)</f>
        <v>384000</v>
      </c>
      <c r="M348">
        <f t="shared" si="16"/>
        <v>1215810</v>
      </c>
      <c r="N348">
        <v>500</v>
      </c>
      <c r="O348">
        <f>IF(N348="","",N348*Parameters!$B$2)</f>
        <v>160000</v>
      </c>
      <c r="P348">
        <f t="shared" si="17"/>
        <v>991810</v>
      </c>
    </row>
    <row r="349" spans="1:16">
      <c r="A349" t="s">
        <v>79</v>
      </c>
      <c r="B349" t="s">
        <v>273</v>
      </c>
      <c r="C349" t="s">
        <v>16</v>
      </c>
      <c r="D349" t="s">
        <v>15</v>
      </c>
      <c r="E349" t="s">
        <v>184</v>
      </c>
      <c r="F349">
        <v>3961000</v>
      </c>
      <c r="G349">
        <f>IF(F349="","",F349*Parameters!$B$1)</f>
        <v>831810</v>
      </c>
      <c r="H349">
        <v>1100</v>
      </c>
      <c r="I349">
        <f>IF(H349="","",H349*Parameters!$B$2)</f>
        <v>352000</v>
      </c>
      <c r="J349">
        <f t="shared" si="15"/>
        <v>1183810</v>
      </c>
      <c r="K349">
        <v>1200</v>
      </c>
      <c r="L349">
        <f>IF(K349="","",K349*Parameters!$B$2)</f>
        <v>384000</v>
      </c>
      <c r="M349">
        <f t="shared" si="16"/>
        <v>1215810</v>
      </c>
      <c r="N349">
        <v>500</v>
      </c>
      <c r="O349">
        <f>IF(N349="","",N349*Parameters!$B$2)</f>
        <v>160000</v>
      </c>
      <c r="P349">
        <f t="shared" si="17"/>
        <v>991810</v>
      </c>
    </row>
    <row r="350" spans="1:16">
      <c r="A350" t="s">
        <v>79</v>
      </c>
      <c r="B350" t="s">
        <v>274</v>
      </c>
      <c r="C350" t="s">
        <v>16</v>
      </c>
      <c r="D350" t="s">
        <v>16</v>
      </c>
      <c r="E350" t="s">
        <v>50</v>
      </c>
      <c r="F350">
        <v>3961000</v>
      </c>
      <c r="G350">
        <f>IF(F350="","",F350*Parameters!$B$1)</f>
        <v>831810</v>
      </c>
      <c r="H350">
        <v>1100</v>
      </c>
      <c r="I350">
        <f>IF(H350="","",H350*Parameters!$B$2)</f>
        <v>352000</v>
      </c>
      <c r="J350">
        <f t="shared" si="15"/>
        <v>1183810</v>
      </c>
      <c r="K350">
        <v>1200</v>
      </c>
      <c r="L350">
        <f>IF(K350="","",K350*Parameters!$B$2)</f>
        <v>384000</v>
      </c>
      <c r="M350">
        <f t="shared" si="16"/>
        <v>1215810</v>
      </c>
      <c r="N350">
        <v>500</v>
      </c>
      <c r="O350">
        <f>IF(N350="","",N350*Parameters!$B$2)</f>
        <v>160000</v>
      </c>
      <c r="P350">
        <f t="shared" si="17"/>
        <v>991810</v>
      </c>
    </row>
    <row r="351" spans="1:16">
      <c r="A351" t="s">
        <v>79</v>
      </c>
      <c r="B351" t="s">
        <v>274</v>
      </c>
      <c r="C351" t="s">
        <v>16</v>
      </c>
      <c r="D351" t="s">
        <v>16</v>
      </c>
      <c r="E351" t="s">
        <v>65</v>
      </c>
      <c r="F351">
        <v>3961000</v>
      </c>
      <c r="G351">
        <f>IF(F351="","",F351*Parameters!$B$1)</f>
        <v>831810</v>
      </c>
      <c r="H351">
        <v>1100</v>
      </c>
      <c r="I351">
        <f>IF(H351="","",H351*Parameters!$B$2)</f>
        <v>352000</v>
      </c>
      <c r="J351">
        <f t="shared" si="15"/>
        <v>1183810</v>
      </c>
      <c r="K351">
        <v>1200</v>
      </c>
      <c r="L351">
        <f>IF(K351="","",K351*Parameters!$B$2)</f>
        <v>384000</v>
      </c>
      <c r="M351">
        <f t="shared" si="16"/>
        <v>1215810</v>
      </c>
      <c r="N351">
        <v>500</v>
      </c>
      <c r="O351">
        <f>IF(N351="","",N351*Parameters!$B$2)</f>
        <v>160000</v>
      </c>
      <c r="P351">
        <f t="shared" si="17"/>
        <v>991810</v>
      </c>
    </row>
    <row r="352" spans="1:16">
      <c r="A352" t="s">
        <v>79</v>
      </c>
      <c r="B352" t="s">
        <v>274</v>
      </c>
      <c r="C352" t="s">
        <v>16</v>
      </c>
      <c r="D352" t="s">
        <v>16</v>
      </c>
      <c r="E352" t="s">
        <v>184</v>
      </c>
      <c r="F352">
        <v>3961000</v>
      </c>
      <c r="G352">
        <f>IF(F352="","",F352*Parameters!$B$1)</f>
        <v>831810</v>
      </c>
      <c r="H352">
        <v>1100</v>
      </c>
      <c r="I352">
        <f>IF(H352="","",H352*Parameters!$B$2)</f>
        <v>352000</v>
      </c>
      <c r="J352">
        <f t="shared" si="15"/>
        <v>1183810</v>
      </c>
      <c r="K352">
        <v>1200</v>
      </c>
      <c r="L352">
        <f>IF(K352="","",K352*Parameters!$B$2)</f>
        <v>384000</v>
      </c>
      <c r="M352">
        <f t="shared" si="16"/>
        <v>1215810</v>
      </c>
      <c r="N352">
        <v>500</v>
      </c>
      <c r="O352">
        <f>IF(N352="","",N352*Parameters!$B$2)</f>
        <v>160000</v>
      </c>
      <c r="P352">
        <f t="shared" si="17"/>
        <v>991810</v>
      </c>
    </row>
    <row r="353" spans="1:16">
      <c r="A353" t="s">
        <v>79</v>
      </c>
      <c r="B353" t="s">
        <v>275</v>
      </c>
      <c r="C353" t="s">
        <v>16</v>
      </c>
      <c r="D353" t="s">
        <v>16</v>
      </c>
      <c r="E353" t="s">
        <v>50</v>
      </c>
      <c r="F353">
        <v>3961000</v>
      </c>
      <c r="G353">
        <f>IF(F353="","",F353*Parameters!$B$1)</f>
        <v>831810</v>
      </c>
      <c r="H353">
        <v>1100</v>
      </c>
      <c r="I353">
        <f>IF(H353="","",H353*Parameters!$B$2)</f>
        <v>352000</v>
      </c>
      <c r="J353">
        <f t="shared" si="15"/>
        <v>1183810</v>
      </c>
      <c r="K353">
        <v>1200</v>
      </c>
      <c r="L353">
        <f>IF(K353="","",K353*Parameters!$B$2)</f>
        <v>384000</v>
      </c>
      <c r="M353">
        <f t="shared" si="16"/>
        <v>1215810</v>
      </c>
      <c r="N353">
        <v>500</v>
      </c>
      <c r="O353">
        <f>IF(N353="","",N353*Parameters!$B$2)</f>
        <v>160000</v>
      </c>
      <c r="P353">
        <f t="shared" si="17"/>
        <v>991810</v>
      </c>
    </row>
    <row r="354" spans="1:16">
      <c r="A354" t="s">
        <v>79</v>
      </c>
      <c r="B354" t="s">
        <v>275</v>
      </c>
      <c r="C354" t="s">
        <v>16</v>
      </c>
      <c r="D354" t="s">
        <v>16</v>
      </c>
      <c r="E354" t="s">
        <v>65</v>
      </c>
      <c r="F354">
        <v>3961000</v>
      </c>
      <c r="G354">
        <f>IF(F354="","",F354*Parameters!$B$1)</f>
        <v>831810</v>
      </c>
      <c r="H354">
        <v>1100</v>
      </c>
      <c r="I354">
        <f>IF(H354="","",H354*Parameters!$B$2)</f>
        <v>352000</v>
      </c>
      <c r="J354">
        <f t="shared" si="15"/>
        <v>1183810</v>
      </c>
      <c r="K354">
        <v>1200</v>
      </c>
      <c r="L354">
        <f>IF(K354="","",K354*Parameters!$B$2)</f>
        <v>384000</v>
      </c>
      <c r="M354">
        <f t="shared" si="16"/>
        <v>1215810</v>
      </c>
      <c r="N354">
        <v>500</v>
      </c>
      <c r="O354">
        <f>IF(N354="","",N354*Parameters!$B$2)</f>
        <v>160000</v>
      </c>
      <c r="P354">
        <f t="shared" si="17"/>
        <v>991810</v>
      </c>
    </row>
    <row r="355" spans="1:16">
      <c r="A355" t="s">
        <v>79</v>
      </c>
      <c r="B355" t="s">
        <v>275</v>
      </c>
      <c r="C355" t="s">
        <v>16</v>
      </c>
      <c r="D355" t="s">
        <v>16</v>
      </c>
      <c r="E355" t="s">
        <v>184</v>
      </c>
      <c r="F355">
        <v>3961000</v>
      </c>
      <c r="G355">
        <f>IF(F355="","",F355*Parameters!$B$1)</f>
        <v>831810</v>
      </c>
      <c r="H355">
        <v>1100</v>
      </c>
      <c r="I355">
        <f>IF(H355="","",H355*Parameters!$B$2)</f>
        <v>352000</v>
      </c>
      <c r="J355">
        <f t="shared" si="15"/>
        <v>1183810</v>
      </c>
      <c r="K355">
        <v>1200</v>
      </c>
      <c r="L355">
        <f>IF(K355="","",K355*Parameters!$B$2)</f>
        <v>384000</v>
      </c>
      <c r="M355">
        <f t="shared" si="16"/>
        <v>1215810</v>
      </c>
      <c r="N355">
        <v>500</v>
      </c>
      <c r="O355">
        <f>IF(N355="","",N355*Parameters!$B$2)</f>
        <v>160000</v>
      </c>
      <c r="P355">
        <f t="shared" si="17"/>
        <v>991810</v>
      </c>
    </row>
    <row r="356" spans="1:16">
      <c r="A356" t="s">
        <v>79</v>
      </c>
      <c r="B356" t="s">
        <v>276</v>
      </c>
      <c r="C356" t="s">
        <v>16</v>
      </c>
      <c r="D356" t="s">
        <v>16</v>
      </c>
      <c r="E356" t="s">
        <v>50</v>
      </c>
      <c r="F356">
        <v>3961000</v>
      </c>
      <c r="G356">
        <f>IF(F356="","",F356*Parameters!$B$1)</f>
        <v>831810</v>
      </c>
      <c r="H356">
        <v>1100</v>
      </c>
      <c r="I356">
        <f>IF(H356="","",H356*Parameters!$B$2)</f>
        <v>352000</v>
      </c>
      <c r="J356">
        <f t="shared" si="15"/>
        <v>1183810</v>
      </c>
      <c r="K356">
        <v>1200</v>
      </c>
      <c r="L356">
        <f>IF(K356="","",K356*Parameters!$B$2)</f>
        <v>384000</v>
      </c>
      <c r="M356">
        <f t="shared" si="16"/>
        <v>1215810</v>
      </c>
      <c r="N356">
        <v>500</v>
      </c>
      <c r="O356">
        <f>IF(N356="","",N356*Parameters!$B$2)</f>
        <v>160000</v>
      </c>
      <c r="P356">
        <f t="shared" si="17"/>
        <v>991810</v>
      </c>
    </row>
    <row r="357" spans="1:16">
      <c r="A357" t="s">
        <v>79</v>
      </c>
      <c r="B357" t="s">
        <v>276</v>
      </c>
      <c r="C357" t="s">
        <v>16</v>
      </c>
      <c r="D357" t="s">
        <v>16</v>
      </c>
      <c r="E357" t="s">
        <v>65</v>
      </c>
      <c r="F357">
        <v>3961000</v>
      </c>
      <c r="G357">
        <f>IF(F357="","",F357*Parameters!$B$1)</f>
        <v>831810</v>
      </c>
      <c r="H357">
        <v>1100</v>
      </c>
      <c r="I357">
        <f>IF(H357="","",H357*Parameters!$B$2)</f>
        <v>352000</v>
      </c>
      <c r="J357">
        <f t="shared" si="15"/>
        <v>1183810</v>
      </c>
      <c r="K357">
        <v>1200</v>
      </c>
      <c r="L357">
        <f>IF(K357="","",K357*Parameters!$B$2)</f>
        <v>384000</v>
      </c>
      <c r="M357">
        <f t="shared" si="16"/>
        <v>1215810</v>
      </c>
      <c r="N357">
        <v>500</v>
      </c>
      <c r="O357">
        <f>IF(N357="","",N357*Parameters!$B$2)</f>
        <v>160000</v>
      </c>
      <c r="P357">
        <f t="shared" si="17"/>
        <v>991810</v>
      </c>
    </row>
    <row r="358" spans="1:16">
      <c r="A358" t="s">
        <v>79</v>
      </c>
      <c r="B358" t="s">
        <v>276</v>
      </c>
      <c r="C358" t="s">
        <v>16</v>
      </c>
      <c r="D358" t="s">
        <v>16</v>
      </c>
      <c r="E358" t="s">
        <v>184</v>
      </c>
      <c r="F358">
        <v>3961000</v>
      </c>
      <c r="G358">
        <f>IF(F358="","",F358*Parameters!$B$1)</f>
        <v>831810</v>
      </c>
      <c r="H358">
        <v>1100</v>
      </c>
      <c r="I358">
        <f>IF(H358="","",H358*Parameters!$B$2)</f>
        <v>352000</v>
      </c>
      <c r="J358">
        <f t="shared" si="15"/>
        <v>1183810</v>
      </c>
      <c r="K358">
        <v>1200</v>
      </c>
      <c r="L358">
        <f>IF(K358="","",K358*Parameters!$B$2)</f>
        <v>384000</v>
      </c>
      <c r="M358">
        <f t="shared" si="16"/>
        <v>1215810</v>
      </c>
      <c r="N358">
        <v>500</v>
      </c>
      <c r="O358">
        <f>IF(N358="","",N358*Parameters!$B$2)</f>
        <v>160000</v>
      </c>
      <c r="P358">
        <f t="shared" si="17"/>
        <v>991810</v>
      </c>
    </row>
    <row r="359" spans="1:16">
      <c r="A359" t="s">
        <v>79</v>
      </c>
      <c r="B359" t="s">
        <v>277</v>
      </c>
      <c r="C359" t="s">
        <v>16</v>
      </c>
      <c r="D359" t="s">
        <v>16</v>
      </c>
      <c r="E359" t="s">
        <v>50</v>
      </c>
      <c r="F359">
        <v>3961000</v>
      </c>
      <c r="G359">
        <f>IF(F359="","",F359*Parameters!$B$1)</f>
        <v>831810</v>
      </c>
      <c r="H359">
        <v>1100</v>
      </c>
      <c r="I359">
        <f>IF(H359="","",H359*Parameters!$B$2)</f>
        <v>352000</v>
      </c>
      <c r="J359">
        <f t="shared" si="15"/>
        <v>1183810</v>
      </c>
      <c r="K359">
        <v>1200</v>
      </c>
      <c r="L359">
        <f>IF(K359="","",K359*Parameters!$B$2)</f>
        <v>384000</v>
      </c>
      <c r="M359">
        <f t="shared" si="16"/>
        <v>1215810</v>
      </c>
      <c r="N359">
        <v>500</v>
      </c>
      <c r="O359">
        <f>IF(N359="","",N359*Parameters!$B$2)</f>
        <v>160000</v>
      </c>
      <c r="P359">
        <f t="shared" si="17"/>
        <v>991810</v>
      </c>
    </row>
    <row r="360" spans="1:16">
      <c r="A360" t="s">
        <v>79</v>
      </c>
      <c r="B360" t="s">
        <v>277</v>
      </c>
      <c r="C360" t="s">
        <v>16</v>
      </c>
      <c r="D360" t="s">
        <v>16</v>
      </c>
      <c r="E360" t="s">
        <v>65</v>
      </c>
      <c r="F360">
        <v>3961000</v>
      </c>
      <c r="G360">
        <f>IF(F360="","",F360*Parameters!$B$1)</f>
        <v>831810</v>
      </c>
      <c r="H360">
        <v>1100</v>
      </c>
      <c r="I360">
        <f>IF(H360="","",H360*Parameters!$B$2)</f>
        <v>352000</v>
      </c>
      <c r="J360">
        <f t="shared" si="15"/>
        <v>1183810</v>
      </c>
      <c r="K360">
        <v>1200</v>
      </c>
      <c r="L360">
        <f>IF(K360="","",K360*Parameters!$B$2)</f>
        <v>384000</v>
      </c>
      <c r="M360">
        <f t="shared" si="16"/>
        <v>1215810</v>
      </c>
      <c r="N360">
        <v>500</v>
      </c>
      <c r="O360">
        <f>IF(N360="","",N360*Parameters!$B$2)</f>
        <v>160000</v>
      </c>
      <c r="P360">
        <f t="shared" si="17"/>
        <v>991810</v>
      </c>
    </row>
    <row r="361" spans="1:16">
      <c r="A361" t="s">
        <v>79</v>
      </c>
      <c r="B361" t="s">
        <v>278</v>
      </c>
      <c r="C361" t="s">
        <v>15</v>
      </c>
      <c r="D361" t="s">
        <v>16</v>
      </c>
      <c r="E361" t="s">
        <v>50</v>
      </c>
      <c r="F361">
        <v>3961000</v>
      </c>
      <c r="G361">
        <f>IF(F361="","",F361*Parameters!$B$1)</f>
        <v>831810</v>
      </c>
      <c r="H361">
        <v>1100</v>
      </c>
      <c r="I361">
        <f>IF(H361="","",H361*Parameters!$B$2)</f>
        <v>352000</v>
      </c>
      <c r="J361">
        <f t="shared" si="15"/>
        <v>1183810</v>
      </c>
      <c r="K361">
        <v>1200</v>
      </c>
      <c r="L361">
        <f>IF(K361="","",K361*Parameters!$B$2)</f>
        <v>384000</v>
      </c>
      <c r="M361">
        <f t="shared" si="16"/>
        <v>1215810</v>
      </c>
      <c r="N361">
        <v>500</v>
      </c>
      <c r="O361">
        <f>IF(N361="","",N361*Parameters!$B$2)</f>
        <v>160000</v>
      </c>
      <c r="P361">
        <f t="shared" si="17"/>
        <v>991810</v>
      </c>
    </row>
    <row r="362" spans="1:16">
      <c r="A362" t="s">
        <v>79</v>
      </c>
      <c r="B362" t="s">
        <v>278</v>
      </c>
      <c r="C362" t="s">
        <v>15</v>
      </c>
      <c r="D362" t="s">
        <v>16</v>
      </c>
      <c r="E362" t="s">
        <v>65</v>
      </c>
      <c r="F362">
        <v>3961000</v>
      </c>
      <c r="G362">
        <f>IF(F362="","",F362*Parameters!$B$1)</f>
        <v>831810</v>
      </c>
      <c r="H362">
        <v>1100</v>
      </c>
      <c r="I362">
        <f>IF(H362="","",H362*Parameters!$B$2)</f>
        <v>352000</v>
      </c>
      <c r="J362">
        <f t="shared" si="15"/>
        <v>1183810</v>
      </c>
      <c r="K362">
        <v>1200</v>
      </c>
      <c r="L362">
        <f>IF(K362="","",K362*Parameters!$B$2)</f>
        <v>384000</v>
      </c>
      <c r="M362">
        <f t="shared" si="16"/>
        <v>1215810</v>
      </c>
      <c r="N362">
        <v>500</v>
      </c>
      <c r="O362">
        <f>IF(N362="","",N362*Parameters!$B$2)</f>
        <v>160000</v>
      </c>
      <c r="P362">
        <f t="shared" si="17"/>
        <v>991810</v>
      </c>
    </row>
    <row r="363" spans="1:16">
      <c r="A363" t="s">
        <v>79</v>
      </c>
      <c r="B363" t="s">
        <v>278</v>
      </c>
      <c r="C363" t="s">
        <v>15</v>
      </c>
      <c r="D363" t="s">
        <v>16</v>
      </c>
      <c r="E363" t="s">
        <v>184</v>
      </c>
      <c r="F363">
        <v>3961000</v>
      </c>
      <c r="G363">
        <f>IF(F363="","",F363*Parameters!$B$1)</f>
        <v>831810</v>
      </c>
      <c r="H363">
        <v>1100</v>
      </c>
      <c r="I363">
        <f>IF(H363="","",H363*Parameters!$B$2)</f>
        <v>352000</v>
      </c>
      <c r="J363">
        <f t="shared" si="15"/>
        <v>1183810</v>
      </c>
      <c r="K363">
        <v>1200</v>
      </c>
      <c r="L363">
        <f>IF(K363="","",K363*Parameters!$B$2)</f>
        <v>384000</v>
      </c>
      <c r="M363">
        <f t="shared" si="16"/>
        <v>1215810</v>
      </c>
      <c r="N363">
        <v>500</v>
      </c>
      <c r="O363">
        <f>IF(N363="","",N363*Parameters!$B$2)</f>
        <v>160000</v>
      </c>
      <c r="P363">
        <f t="shared" si="17"/>
        <v>991810</v>
      </c>
    </row>
    <row r="364" spans="1:16">
      <c r="A364" t="s">
        <v>79</v>
      </c>
      <c r="B364" t="s">
        <v>279</v>
      </c>
      <c r="C364" t="s">
        <v>16</v>
      </c>
      <c r="D364" t="s">
        <v>16</v>
      </c>
      <c r="E364" t="s">
        <v>50</v>
      </c>
      <c r="F364">
        <v>3961000</v>
      </c>
      <c r="G364">
        <f>IF(F364="","",F364*Parameters!$B$1)</f>
        <v>831810</v>
      </c>
      <c r="H364">
        <v>1100</v>
      </c>
      <c r="I364">
        <f>IF(H364="","",H364*Parameters!$B$2)</f>
        <v>352000</v>
      </c>
      <c r="J364">
        <f t="shared" si="15"/>
        <v>1183810</v>
      </c>
      <c r="K364">
        <v>1200</v>
      </c>
      <c r="L364">
        <f>IF(K364="","",K364*Parameters!$B$2)</f>
        <v>384000</v>
      </c>
      <c r="M364">
        <f t="shared" si="16"/>
        <v>1215810</v>
      </c>
      <c r="N364">
        <v>500</v>
      </c>
      <c r="O364">
        <f>IF(N364="","",N364*Parameters!$B$2)</f>
        <v>160000</v>
      </c>
      <c r="P364">
        <f t="shared" si="17"/>
        <v>991810</v>
      </c>
    </row>
    <row r="365" spans="1:16">
      <c r="A365" t="s">
        <v>79</v>
      </c>
      <c r="B365" t="s">
        <v>279</v>
      </c>
      <c r="C365" t="s">
        <v>16</v>
      </c>
      <c r="D365" t="s">
        <v>16</v>
      </c>
      <c r="E365" t="s">
        <v>65</v>
      </c>
      <c r="F365">
        <v>3961000</v>
      </c>
      <c r="G365">
        <f>IF(F365="","",F365*Parameters!$B$1)</f>
        <v>831810</v>
      </c>
      <c r="H365">
        <v>1100</v>
      </c>
      <c r="I365">
        <f>IF(H365="","",H365*Parameters!$B$2)</f>
        <v>352000</v>
      </c>
      <c r="J365">
        <f t="shared" si="15"/>
        <v>1183810</v>
      </c>
      <c r="K365">
        <v>1200</v>
      </c>
      <c r="L365">
        <f>IF(K365="","",K365*Parameters!$B$2)</f>
        <v>384000</v>
      </c>
      <c r="M365">
        <f t="shared" si="16"/>
        <v>1215810</v>
      </c>
      <c r="N365">
        <v>500</v>
      </c>
      <c r="O365">
        <f>IF(N365="","",N365*Parameters!$B$2)</f>
        <v>160000</v>
      </c>
      <c r="P365">
        <f t="shared" si="17"/>
        <v>991810</v>
      </c>
    </row>
    <row r="366" spans="1:16">
      <c r="A366" t="s">
        <v>79</v>
      </c>
      <c r="B366" t="s">
        <v>279</v>
      </c>
      <c r="C366" t="s">
        <v>16</v>
      </c>
      <c r="D366" t="s">
        <v>16</v>
      </c>
      <c r="E366" t="s">
        <v>184</v>
      </c>
      <c r="F366">
        <v>3961000</v>
      </c>
      <c r="G366">
        <f>IF(F366="","",F366*Parameters!$B$1)</f>
        <v>831810</v>
      </c>
      <c r="H366">
        <v>1100</v>
      </c>
      <c r="I366">
        <f>IF(H366="","",H366*Parameters!$B$2)</f>
        <v>352000</v>
      </c>
      <c r="J366">
        <f t="shared" si="15"/>
        <v>1183810</v>
      </c>
      <c r="K366">
        <v>1200</v>
      </c>
      <c r="L366">
        <f>IF(K366="","",K366*Parameters!$B$2)</f>
        <v>384000</v>
      </c>
      <c r="M366">
        <f t="shared" si="16"/>
        <v>1215810</v>
      </c>
      <c r="N366">
        <v>500</v>
      </c>
      <c r="O366">
        <f>IF(N366="","",N366*Parameters!$B$2)</f>
        <v>160000</v>
      </c>
      <c r="P366">
        <f t="shared" si="17"/>
        <v>991810</v>
      </c>
    </row>
    <row r="367" spans="1:16">
      <c r="A367" t="s">
        <v>79</v>
      </c>
      <c r="B367" t="s">
        <v>280</v>
      </c>
      <c r="C367" t="s">
        <v>16</v>
      </c>
      <c r="D367" t="s">
        <v>16</v>
      </c>
      <c r="E367" t="s">
        <v>50</v>
      </c>
      <c r="F367">
        <v>3961000</v>
      </c>
      <c r="G367">
        <f>IF(F367="","",F367*Parameters!$B$1)</f>
        <v>831810</v>
      </c>
      <c r="H367">
        <v>1100</v>
      </c>
      <c r="I367">
        <f>IF(H367="","",H367*Parameters!$B$2)</f>
        <v>352000</v>
      </c>
      <c r="J367">
        <f t="shared" si="15"/>
        <v>1183810</v>
      </c>
      <c r="K367">
        <v>1200</v>
      </c>
      <c r="L367">
        <f>IF(K367="","",K367*Parameters!$B$2)</f>
        <v>384000</v>
      </c>
      <c r="M367">
        <f t="shared" si="16"/>
        <v>1215810</v>
      </c>
      <c r="N367">
        <v>500</v>
      </c>
      <c r="O367">
        <f>IF(N367="","",N367*Parameters!$B$2)</f>
        <v>160000</v>
      </c>
      <c r="P367">
        <f t="shared" si="17"/>
        <v>991810</v>
      </c>
    </row>
    <row r="368" spans="1:16">
      <c r="A368" t="s">
        <v>79</v>
      </c>
      <c r="B368" t="s">
        <v>280</v>
      </c>
      <c r="C368" t="s">
        <v>16</v>
      </c>
      <c r="D368" t="s">
        <v>16</v>
      </c>
      <c r="E368" t="s">
        <v>65</v>
      </c>
      <c r="F368">
        <v>3961000</v>
      </c>
      <c r="G368">
        <f>IF(F368="","",F368*Parameters!$B$1)</f>
        <v>831810</v>
      </c>
      <c r="H368">
        <v>1100</v>
      </c>
      <c r="I368">
        <f>IF(H368="","",H368*Parameters!$B$2)</f>
        <v>352000</v>
      </c>
      <c r="J368">
        <f t="shared" si="15"/>
        <v>1183810</v>
      </c>
      <c r="K368">
        <v>1200</v>
      </c>
      <c r="L368">
        <f>IF(K368="","",K368*Parameters!$B$2)</f>
        <v>384000</v>
      </c>
      <c r="M368">
        <f t="shared" si="16"/>
        <v>1215810</v>
      </c>
      <c r="N368">
        <v>500</v>
      </c>
      <c r="O368">
        <f>IF(N368="","",N368*Parameters!$B$2)</f>
        <v>160000</v>
      </c>
      <c r="P368">
        <f t="shared" si="17"/>
        <v>991810</v>
      </c>
    </row>
    <row r="369" spans="1:16">
      <c r="A369" t="s">
        <v>79</v>
      </c>
      <c r="B369" t="s">
        <v>280</v>
      </c>
      <c r="C369" t="s">
        <v>16</v>
      </c>
      <c r="D369" t="s">
        <v>16</v>
      </c>
      <c r="E369" t="s">
        <v>184</v>
      </c>
      <c r="F369">
        <v>3961000</v>
      </c>
      <c r="G369">
        <f>IF(F369="","",F369*Parameters!$B$1)</f>
        <v>831810</v>
      </c>
      <c r="H369">
        <v>1100</v>
      </c>
      <c r="I369">
        <f>IF(H369="","",H369*Parameters!$B$2)</f>
        <v>352000</v>
      </c>
      <c r="J369">
        <f t="shared" si="15"/>
        <v>1183810</v>
      </c>
      <c r="K369">
        <v>1200</v>
      </c>
      <c r="L369">
        <f>IF(K369="","",K369*Parameters!$B$2)</f>
        <v>384000</v>
      </c>
      <c r="M369">
        <f t="shared" si="16"/>
        <v>1215810</v>
      </c>
      <c r="N369">
        <v>500</v>
      </c>
      <c r="O369">
        <f>IF(N369="","",N369*Parameters!$B$2)</f>
        <v>160000</v>
      </c>
      <c r="P369">
        <f t="shared" si="17"/>
        <v>991810</v>
      </c>
    </row>
    <row r="370" spans="1:16">
      <c r="A370" t="s">
        <v>79</v>
      </c>
      <c r="B370" t="s">
        <v>281</v>
      </c>
      <c r="C370" t="s">
        <v>16</v>
      </c>
      <c r="D370" t="s">
        <v>16</v>
      </c>
      <c r="E370" t="s">
        <v>50</v>
      </c>
      <c r="F370">
        <v>3961000</v>
      </c>
      <c r="G370">
        <f>IF(F370="","",F370*Parameters!$B$1)</f>
        <v>831810</v>
      </c>
      <c r="H370">
        <v>1100</v>
      </c>
      <c r="I370">
        <f>IF(H370="","",H370*Parameters!$B$2)</f>
        <v>352000</v>
      </c>
      <c r="J370">
        <f t="shared" si="15"/>
        <v>1183810</v>
      </c>
      <c r="K370">
        <v>1200</v>
      </c>
      <c r="L370">
        <f>IF(K370="","",K370*Parameters!$B$2)</f>
        <v>384000</v>
      </c>
      <c r="M370">
        <f t="shared" si="16"/>
        <v>1215810</v>
      </c>
      <c r="N370">
        <v>500</v>
      </c>
      <c r="O370">
        <f>IF(N370="","",N370*Parameters!$B$2)</f>
        <v>160000</v>
      </c>
      <c r="P370">
        <f t="shared" si="17"/>
        <v>991810</v>
      </c>
    </row>
    <row r="371" spans="1:16">
      <c r="A371" t="s">
        <v>79</v>
      </c>
      <c r="B371" t="s">
        <v>281</v>
      </c>
      <c r="C371" t="s">
        <v>16</v>
      </c>
      <c r="D371" t="s">
        <v>16</v>
      </c>
      <c r="E371" t="s">
        <v>65</v>
      </c>
      <c r="F371">
        <v>3961000</v>
      </c>
      <c r="G371">
        <f>IF(F371="","",F371*Parameters!$B$1)</f>
        <v>831810</v>
      </c>
      <c r="H371">
        <v>1100</v>
      </c>
      <c r="I371">
        <f>IF(H371="","",H371*Parameters!$B$2)</f>
        <v>352000</v>
      </c>
      <c r="J371">
        <f t="shared" si="15"/>
        <v>1183810</v>
      </c>
      <c r="K371">
        <v>1200</v>
      </c>
      <c r="L371">
        <f>IF(K371="","",K371*Parameters!$B$2)</f>
        <v>384000</v>
      </c>
      <c r="M371">
        <f t="shared" si="16"/>
        <v>1215810</v>
      </c>
      <c r="N371">
        <v>500</v>
      </c>
      <c r="O371">
        <f>IF(N371="","",N371*Parameters!$B$2)</f>
        <v>160000</v>
      </c>
      <c r="P371">
        <f t="shared" si="17"/>
        <v>991810</v>
      </c>
    </row>
    <row r="372" spans="1:16">
      <c r="A372" t="s">
        <v>79</v>
      </c>
      <c r="B372" t="s">
        <v>281</v>
      </c>
      <c r="C372" t="s">
        <v>16</v>
      </c>
      <c r="D372" t="s">
        <v>16</v>
      </c>
      <c r="E372" t="s">
        <v>184</v>
      </c>
      <c r="F372">
        <v>3961000</v>
      </c>
      <c r="G372">
        <f>IF(F372="","",F372*Parameters!$B$1)</f>
        <v>831810</v>
      </c>
      <c r="H372">
        <v>1100</v>
      </c>
      <c r="I372">
        <f>IF(H372="","",H372*Parameters!$B$2)</f>
        <v>352000</v>
      </c>
      <c r="J372">
        <f t="shared" si="15"/>
        <v>1183810</v>
      </c>
      <c r="K372">
        <v>1200</v>
      </c>
      <c r="L372">
        <f>IF(K372="","",K372*Parameters!$B$2)</f>
        <v>384000</v>
      </c>
      <c r="M372">
        <f t="shared" si="16"/>
        <v>1215810</v>
      </c>
      <c r="N372">
        <v>500</v>
      </c>
      <c r="O372">
        <f>IF(N372="","",N372*Parameters!$B$2)</f>
        <v>160000</v>
      </c>
      <c r="P372">
        <f t="shared" si="17"/>
        <v>991810</v>
      </c>
    </row>
    <row r="373" spans="1:16">
      <c r="A373" t="s">
        <v>79</v>
      </c>
      <c r="B373" t="s">
        <v>282</v>
      </c>
      <c r="C373" t="s">
        <v>16</v>
      </c>
      <c r="D373" t="s">
        <v>16</v>
      </c>
      <c r="E373" t="s">
        <v>50</v>
      </c>
      <c r="F373">
        <v>3961000</v>
      </c>
      <c r="G373">
        <f>IF(F373="","",F373*Parameters!$B$1)</f>
        <v>831810</v>
      </c>
      <c r="H373">
        <v>1100</v>
      </c>
      <c r="I373">
        <f>IF(H373="","",H373*Parameters!$B$2)</f>
        <v>352000</v>
      </c>
      <c r="J373">
        <f t="shared" si="15"/>
        <v>1183810</v>
      </c>
      <c r="K373">
        <v>1200</v>
      </c>
      <c r="L373">
        <f>IF(K373="","",K373*Parameters!$B$2)</f>
        <v>384000</v>
      </c>
      <c r="M373">
        <f t="shared" si="16"/>
        <v>1215810</v>
      </c>
      <c r="N373">
        <v>500</v>
      </c>
      <c r="O373">
        <f>IF(N373="","",N373*Parameters!$B$2)</f>
        <v>160000</v>
      </c>
      <c r="P373">
        <f t="shared" si="17"/>
        <v>991810</v>
      </c>
    </row>
    <row r="374" spans="1:16">
      <c r="A374" t="s">
        <v>79</v>
      </c>
      <c r="B374" t="s">
        <v>282</v>
      </c>
      <c r="C374" t="s">
        <v>16</v>
      </c>
      <c r="D374" t="s">
        <v>16</v>
      </c>
      <c r="E374" t="s">
        <v>65</v>
      </c>
      <c r="F374">
        <v>3961000</v>
      </c>
      <c r="G374">
        <f>IF(F374="","",F374*Parameters!$B$1)</f>
        <v>831810</v>
      </c>
      <c r="H374">
        <v>1100</v>
      </c>
      <c r="I374">
        <f>IF(H374="","",H374*Parameters!$B$2)</f>
        <v>352000</v>
      </c>
      <c r="J374">
        <f t="shared" si="15"/>
        <v>1183810</v>
      </c>
      <c r="K374">
        <v>1200</v>
      </c>
      <c r="L374">
        <f>IF(K374="","",K374*Parameters!$B$2)</f>
        <v>384000</v>
      </c>
      <c r="M374">
        <f t="shared" si="16"/>
        <v>1215810</v>
      </c>
      <c r="N374">
        <v>500</v>
      </c>
      <c r="O374">
        <f>IF(N374="","",N374*Parameters!$B$2)</f>
        <v>160000</v>
      </c>
      <c r="P374">
        <f t="shared" si="17"/>
        <v>991810</v>
      </c>
    </row>
    <row r="375" spans="1:16">
      <c r="A375" t="s">
        <v>79</v>
      </c>
      <c r="B375" t="s">
        <v>282</v>
      </c>
      <c r="C375" t="s">
        <v>16</v>
      </c>
      <c r="D375" t="s">
        <v>16</v>
      </c>
      <c r="E375" t="s">
        <v>184</v>
      </c>
      <c r="F375">
        <v>3961000</v>
      </c>
      <c r="G375">
        <f>IF(F375="","",F375*Parameters!$B$1)</f>
        <v>831810</v>
      </c>
      <c r="H375">
        <v>1100</v>
      </c>
      <c r="I375">
        <f>IF(H375="","",H375*Parameters!$B$2)</f>
        <v>352000</v>
      </c>
      <c r="J375">
        <f t="shared" si="15"/>
        <v>1183810</v>
      </c>
      <c r="K375">
        <v>1200</v>
      </c>
      <c r="L375">
        <f>IF(K375="","",K375*Parameters!$B$2)</f>
        <v>384000</v>
      </c>
      <c r="M375">
        <f t="shared" si="16"/>
        <v>1215810</v>
      </c>
      <c r="N375">
        <v>500</v>
      </c>
      <c r="O375">
        <f>IF(N375="","",N375*Parameters!$B$2)</f>
        <v>160000</v>
      </c>
      <c r="P375">
        <f t="shared" si="17"/>
        <v>991810</v>
      </c>
    </row>
    <row r="376" spans="1:16">
      <c r="A376" t="s">
        <v>79</v>
      </c>
      <c r="B376" t="s">
        <v>283</v>
      </c>
      <c r="C376" t="s">
        <v>15</v>
      </c>
      <c r="D376" t="s">
        <v>16</v>
      </c>
      <c r="E376" t="s">
        <v>50</v>
      </c>
      <c r="F376">
        <v>4076500</v>
      </c>
      <c r="G376">
        <f>IF(F376="","",F376*Parameters!$B$1)</f>
        <v>856065</v>
      </c>
      <c r="H376">
        <v>1100</v>
      </c>
      <c r="I376">
        <f>IF(H376="","",H376*Parameters!$B$2)</f>
        <v>352000</v>
      </c>
      <c r="J376">
        <f t="shared" si="15"/>
        <v>1208065</v>
      </c>
      <c r="K376">
        <v>1200</v>
      </c>
      <c r="L376">
        <f>IF(K376="","",K376*Parameters!$B$2)</f>
        <v>384000</v>
      </c>
      <c r="M376">
        <f t="shared" si="16"/>
        <v>1240065</v>
      </c>
      <c r="N376">
        <v>500</v>
      </c>
      <c r="O376">
        <f>IF(N376="","",N376*Parameters!$B$2)</f>
        <v>160000</v>
      </c>
      <c r="P376">
        <f t="shared" si="17"/>
        <v>1016065</v>
      </c>
    </row>
    <row r="377" spans="1:16" ht="45">
      <c r="A377" t="s">
        <v>79</v>
      </c>
      <c r="B377" s="1" t="s">
        <v>284</v>
      </c>
      <c r="C377" t="s">
        <v>15</v>
      </c>
      <c r="D377" t="s">
        <v>16</v>
      </c>
      <c r="E377" t="s">
        <v>50</v>
      </c>
      <c r="F377">
        <v>4076500</v>
      </c>
      <c r="G377">
        <f>IF(F377="","",F377*Parameters!$B$1)</f>
        <v>856065</v>
      </c>
      <c r="H377">
        <v>1100</v>
      </c>
      <c r="I377">
        <f>IF(H377="","",H377*Parameters!$B$2)</f>
        <v>352000</v>
      </c>
      <c r="J377">
        <f t="shared" si="15"/>
        <v>1208065</v>
      </c>
      <c r="K377">
        <v>1200</v>
      </c>
      <c r="L377">
        <f>IF(K377="","",K377*Parameters!$B$2)</f>
        <v>384000</v>
      </c>
      <c r="M377">
        <f t="shared" si="16"/>
        <v>1240065</v>
      </c>
      <c r="N377">
        <v>500</v>
      </c>
      <c r="O377">
        <f>IF(N377="","",N377*Parameters!$B$2)</f>
        <v>160000</v>
      </c>
      <c r="P377">
        <f t="shared" si="17"/>
        <v>1016065</v>
      </c>
    </row>
    <row r="378" spans="1:16">
      <c r="A378" t="s">
        <v>79</v>
      </c>
      <c r="B378" t="s">
        <v>284</v>
      </c>
      <c r="C378" t="s">
        <v>15</v>
      </c>
      <c r="D378" t="s">
        <v>16</v>
      </c>
      <c r="E378" t="s">
        <v>65</v>
      </c>
      <c r="F378">
        <v>4076500</v>
      </c>
      <c r="G378">
        <f>IF(F378="","",F378*Parameters!$B$1)</f>
        <v>856065</v>
      </c>
      <c r="H378">
        <v>1100</v>
      </c>
      <c r="I378">
        <f>IF(H378="","",H378*Parameters!$B$2)</f>
        <v>352000</v>
      </c>
      <c r="J378">
        <f t="shared" si="15"/>
        <v>1208065</v>
      </c>
      <c r="K378">
        <v>1200</v>
      </c>
      <c r="L378">
        <f>IF(K378="","",K378*Parameters!$B$2)</f>
        <v>384000</v>
      </c>
      <c r="M378">
        <f t="shared" si="16"/>
        <v>1240065</v>
      </c>
      <c r="N378">
        <v>500</v>
      </c>
      <c r="O378">
        <f>IF(N378="","",N378*Parameters!$B$2)</f>
        <v>160000</v>
      </c>
      <c r="P378">
        <f t="shared" si="17"/>
        <v>1016065</v>
      </c>
    </row>
    <row r="379" spans="1:16">
      <c r="A379" t="s">
        <v>79</v>
      </c>
      <c r="B379" t="s">
        <v>285</v>
      </c>
      <c r="C379" t="s">
        <v>16</v>
      </c>
      <c r="D379" t="s">
        <v>16</v>
      </c>
      <c r="E379" t="s">
        <v>50</v>
      </c>
      <c r="F379">
        <v>4076500</v>
      </c>
      <c r="G379">
        <f>IF(F379="","",F379*Parameters!$B$1)</f>
        <v>856065</v>
      </c>
      <c r="H379">
        <v>1100</v>
      </c>
      <c r="I379">
        <f>IF(H379="","",H379*Parameters!$B$2)</f>
        <v>352000</v>
      </c>
      <c r="J379">
        <f t="shared" si="15"/>
        <v>1208065</v>
      </c>
      <c r="K379">
        <v>1200</v>
      </c>
      <c r="L379">
        <f>IF(K379="","",K379*Parameters!$B$2)</f>
        <v>384000</v>
      </c>
      <c r="M379">
        <f t="shared" si="16"/>
        <v>1240065</v>
      </c>
      <c r="N379">
        <v>500</v>
      </c>
      <c r="O379">
        <f>IF(N379="","",N379*Parameters!$B$2)</f>
        <v>160000</v>
      </c>
      <c r="P379">
        <f t="shared" si="17"/>
        <v>1016065</v>
      </c>
    </row>
    <row r="380" spans="1:16">
      <c r="A380" t="s">
        <v>79</v>
      </c>
      <c r="B380" t="s">
        <v>286</v>
      </c>
      <c r="C380" t="s">
        <v>15</v>
      </c>
      <c r="D380" t="s">
        <v>16</v>
      </c>
      <c r="E380" t="s">
        <v>50</v>
      </c>
      <c r="F380">
        <v>4076500</v>
      </c>
      <c r="G380">
        <f>IF(F380="","",F380*Parameters!$B$1)</f>
        <v>856065</v>
      </c>
      <c r="H380">
        <v>1100</v>
      </c>
      <c r="I380">
        <f>IF(H380="","",H380*Parameters!$B$2)</f>
        <v>352000</v>
      </c>
      <c r="J380">
        <f t="shared" si="15"/>
        <v>1208065</v>
      </c>
      <c r="K380">
        <v>1200</v>
      </c>
      <c r="L380">
        <f>IF(K380="","",K380*Parameters!$B$2)</f>
        <v>384000</v>
      </c>
      <c r="M380">
        <f t="shared" si="16"/>
        <v>1240065</v>
      </c>
      <c r="N380">
        <v>500</v>
      </c>
      <c r="O380">
        <f>IF(N380="","",N380*Parameters!$B$2)</f>
        <v>160000</v>
      </c>
      <c r="P380">
        <f t="shared" si="17"/>
        <v>1016065</v>
      </c>
    </row>
    <row r="381" spans="1:16">
      <c r="A381" t="s">
        <v>79</v>
      </c>
      <c r="B381" t="s">
        <v>286</v>
      </c>
      <c r="C381" t="s">
        <v>15</v>
      </c>
      <c r="D381" t="s">
        <v>16</v>
      </c>
      <c r="E381" t="s">
        <v>65</v>
      </c>
      <c r="F381">
        <v>4076500</v>
      </c>
      <c r="G381">
        <f>IF(F381="","",F381*Parameters!$B$1)</f>
        <v>856065</v>
      </c>
      <c r="H381">
        <v>1100</v>
      </c>
      <c r="I381">
        <f>IF(H381="","",H381*Parameters!$B$2)</f>
        <v>352000</v>
      </c>
      <c r="J381">
        <f t="shared" si="15"/>
        <v>1208065</v>
      </c>
      <c r="K381">
        <v>1200</v>
      </c>
      <c r="L381">
        <f>IF(K381="","",K381*Parameters!$B$2)</f>
        <v>384000</v>
      </c>
      <c r="M381">
        <f t="shared" si="16"/>
        <v>1240065</v>
      </c>
      <c r="N381">
        <v>500</v>
      </c>
      <c r="O381">
        <f>IF(N381="","",N381*Parameters!$B$2)</f>
        <v>160000</v>
      </c>
      <c r="P381">
        <f t="shared" si="17"/>
        <v>1016065</v>
      </c>
    </row>
    <row r="382" spans="1:16">
      <c r="A382" t="s">
        <v>79</v>
      </c>
      <c r="B382" t="s">
        <v>287</v>
      </c>
      <c r="C382" t="s">
        <v>16</v>
      </c>
      <c r="D382" t="s">
        <v>16</v>
      </c>
      <c r="E382" t="s">
        <v>50</v>
      </c>
      <c r="F382">
        <v>4076500</v>
      </c>
      <c r="G382">
        <f>IF(F382="","",F382*Parameters!$B$1)</f>
        <v>856065</v>
      </c>
      <c r="H382">
        <v>1100</v>
      </c>
      <c r="I382">
        <f>IF(H382="","",H382*Parameters!$B$2)</f>
        <v>352000</v>
      </c>
      <c r="J382">
        <f t="shared" si="15"/>
        <v>1208065</v>
      </c>
      <c r="K382">
        <v>1200</v>
      </c>
      <c r="L382">
        <f>IF(K382="","",K382*Parameters!$B$2)</f>
        <v>384000</v>
      </c>
      <c r="M382">
        <f t="shared" si="16"/>
        <v>1240065</v>
      </c>
      <c r="N382">
        <v>500</v>
      </c>
      <c r="O382">
        <f>IF(N382="","",N382*Parameters!$B$2)</f>
        <v>160000</v>
      </c>
      <c r="P382">
        <f t="shared" si="17"/>
        <v>1016065</v>
      </c>
    </row>
    <row r="383" spans="1:16">
      <c r="A383" t="s">
        <v>79</v>
      </c>
      <c r="B383" t="s">
        <v>287</v>
      </c>
      <c r="C383" t="s">
        <v>16</v>
      </c>
      <c r="D383" t="s">
        <v>16</v>
      </c>
      <c r="E383" t="s">
        <v>65</v>
      </c>
      <c r="F383">
        <v>4076500</v>
      </c>
      <c r="G383">
        <f>IF(F383="","",F383*Parameters!$B$1)</f>
        <v>856065</v>
      </c>
      <c r="H383">
        <v>1100</v>
      </c>
      <c r="I383">
        <f>IF(H383="","",H383*Parameters!$B$2)</f>
        <v>352000</v>
      </c>
      <c r="J383">
        <f t="shared" si="15"/>
        <v>1208065</v>
      </c>
      <c r="K383">
        <v>1200</v>
      </c>
      <c r="L383">
        <f>IF(K383="","",K383*Parameters!$B$2)</f>
        <v>384000</v>
      </c>
      <c r="M383">
        <f t="shared" si="16"/>
        <v>1240065</v>
      </c>
      <c r="N383">
        <v>500</v>
      </c>
      <c r="O383">
        <f>IF(N383="","",N383*Parameters!$B$2)</f>
        <v>160000</v>
      </c>
      <c r="P383">
        <f t="shared" si="17"/>
        <v>1016065</v>
      </c>
    </row>
    <row r="384" spans="1:16" ht="60">
      <c r="A384" t="s">
        <v>79</v>
      </c>
      <c r="B384" s="1" t="s">
        <v>288</v>
      </c>
      <c r="C384" t="s">
        <v>15</v>
      </c>
      <c r="D384" t="s">
        <v>16</v>
      </c>
      <c r="E384" t="s">
        <v>50</v>
      </c>
      <c r="F384">
        <v>4076500</v>
      </c>
      <c r="G384">
        <f>IF(F384="","",F384*Parameters!$B$1)</f>
        <v>856065</v>
      </c>
      <c r="H384">
        <v>1100</v>
      </c>
      <c r="I384">
        <f>IF(H384="","",H384*Parameters!$B$2)</f>
        <v>352000</v>
      </c>
      <c r="J384">
        <f t="shared" si="15"/>
        <v>1208065</v>
      </c>
      <c r="K384">
        <v>1200</v>
      </c>
      <c r="L384">
        <f>IF(K384="","",K384*Parameters!$B$2)</f>
        <v>384000</v>
      </c>
      <c r="M384">
        <f t="shared" si="16"/>
        <v>1240065</v>
      </c>
      <c r="N384">
        <v>500</v>
      </c>
      <c r="O384">
        <f>IF(N384="","",N384*Parameters!$B$2)</f>
        <v>160000</v>
      </c>
      <c r="P384">
        <f t="shared" si="17"/>
        <v>1016065</v>
      </c>
    </row>
    <row r="385" spans="1:16">
      <c r="A385" t="s">
        <v>79</v>
      </c>
      <c r="B385" t="s">
        <v>288</v>
      </c>
      <c r="C385" t="s">
        <v>15</v>
      </c>
      <c r="D385" t="s">
        <v>16</v>
      </c>
      <c r="E385" t="s">
        <v>65</v>
      </c>
      <c r="F385">
        <v>4076500</v>
      </c>
      <c r="G385">
        <f>IF(F385="","",F385*Parameters!$B$1)</f>
        <v>856065</v>
      </c>
      <c r="H385">
        <v>1100</v>
      </c>
      <c r="I385">
        <f>IF(H385="","",H385*Parameters!$B$2)</f>
        <v>352000</v>
      </c>
      <c r="J385">
        <f t="shared" si="15"/>
        <v>1208065</v>
      </c>
      <c r="K385">
        <v>1200</v>
      </c>
      <c r="L385">
        <f>IF(K385="","",K385*Parameters!$B$2)</f>
        <v>384000</v>
      </c>
      <c r="M385">
        <f t="shared" si="16"/>
        <v>1240065</v>
      </c>
      <c r="N385">
        <v>500</v>
      </c>
      <c r="O385">
        <f>IF(N385="","",N385*Parameters!$B$2)</f>
        <v>160000</v>
      </c>
      <c r="P385">
        <f t="shared" si="17"/>
        <v>1016065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6F08A-77C4-40BF-8F17-C559E3945158}">
  <dimension ref="A1:J40"/>
  <sheetViews>
    <sheetView topLeftCell="A4" workbookViewId="0">
      <selection activeCell="B26" sqref="B26"/>
    </sheetView>
  </sheetViews>
  <sheetFormatPr defaultRowHeight="15"/>
  <cols>
    <col min="1" max="1" width="51.140625" customWidth="1"/>
    <col min="2" max="2" width="40" customWidth="1"/>
    <col min="3" max="10" width="22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289</v>
      </c>
      <c r="I1" t="s">
        <v>290</v>
      </c>
      <c r="J1" t="s">
        <v>291</v>
      </c>
    </row>
    <row r="2" spans="1:10">
      <c r="A2" t="s">
        <v>292</v>
      </c>
      <c r="B2" t="s">
        <v>62</v>
      </c>
      <c r="C2" t="s">
        <v>15</v>
      </c>
      <c r="D2" t="s">
        <v>16</v>
      </c>
      <c r="E2" t="s">
        <v>293</v>
      </c>
      <c r="F2" s="2">
        <v>3468300</v>
      </c>
      <c r="G2">
        <f>IF(F2="","",F2*Parameters!$B$1)</f>
        <v>728343</v>
      </c>
      <c r="H2" s="2">
        <v>1050000</v>
      </c>
      <c r="I2">
        <f>IF(H2="","",H2*Parameters!$B$1)</f>
        <v>220500</v>
      </c>
      <c r="J2">
        <f t="shared" ref="J2:J38" si="0">IF(OR(G2="",I2=""),"",G2+I2)</f>
        <v>948843</v>
      </c>
    </row>
    <row r="3" spans="1:10">
      <c r="A3" t="s">
        <v>292</v>
      </c>
      <c r="B3" t="s">
        <v>100</v>
      </c>
      <c r="C3" t="s">
        <v>15</v>
      </c>
      <c r="D3" t="s">
        <v>16</v>
      </c>
      <c r="E3" t="s">
        <v>293</v>
      </c>
      <c r="F3" s="2">
        <v>3468300</v>
      </c>
      <c r="G3">
        <f>IF(F3="","",F3*Parameters!$B$1)</f>
        <v>728343</v>
      </c>
      <c r="H3" s="2">
        <v>1050000</v>
      </c>
      <c r="I3">
        <f>IF(H3="","",H3*Parameters!$B$1)</f>
        <v>220500</v>
      </c>
      <c r="J3">
        <f t="shared" si="0"/>
        <v>948843</v>
      </c>
    </row>
    <row r="4" spans="1:10" ht="15" customHeight="1">
      <c r="A4" t="s">
        <v>292</v>
      </c>
      <c r="B4" t="s">
        <v>88</v>
      </c>
      <c r="C4" t="s">
        <v>15</v>
      </c>
      <c r="D4" t="s">
        <v>16</v>
      </c>
      <c r="E4" t="s">
        <v>293</v>
      </c>
      <c r="F4" s="2">
        <v>3468300</v>
      </c>
      <c r="G4">
        <f>IF(F4="","",F4*Parameters!$B$1)</f>
        <v>728343</v>
      </c>
      <c r="H4" s="2">
        <v>1050000</v>
      </c>
      <c r="I4">
        <f>IF(H4="","",H4*Parameters!$B$1)</f>
        <v>220500</v>
      </c>
      <c r="J4">
        <f t="shared" si="0"/>
        <v>948843</v>
      </c>
    </row>
    <row r="5" spans="1:10" ht="30" customHeight="1">
      <c r="A5" t="s">
        <v>292</v>
      </c>
      <c r="B5" s="1" t="s">
        <v>294</v>
      </c>
      <c r="C5" t="s">
        <v>15</v>
      </c>
      <c r="D5" t="s">
        <v>16</v>
      </c>
      <c r="E5" t="s">
        <v>293</v>
      </c>
      <c r="F5" s="2">
        <v>3468300</v>
      </c>
      <c r="G5">
        <f>IF(F5="","",F5*Parameters!$B$1)</f>
        <v>728343</v>
      </c>
      <c r="H5" s="2">
        <v>1050000</v>
      </c>
      <c r="I5">
        <f>IF(H5="","",H5*Parameters!$B$1)</f>
        <v>220500</v>
      </c>
      <c r="J5">
        <f t="shared" si="0"/>
        <v>948843</v>
      </c>
    </row>
    <row r="6" spans="1:10">
      <c r="A6" t="s">
        <v>292</v>
      </c>
      <c r="B6" t="s">
        <v>295</v>
      </c>
      <c r="C6" t="s">
        <v>15</v>
      </c>
      <c r="D6" t="s">
        <v>16</v>
      </c>
      <c r="E6" t="s">
        <v>293</v>
      </c>
      <c r="F6" s="2">
        <v>3468300</v>
      </c>
      <c r="G6">
        <f>IF(F6="","",F6*Parameters!$B$1)</f>
        <v>728343</v>
      </c>
      <c r="H6" s="2">
        <v>1050000</v>
      </c>
      <c r="I6">
        <f>IF(H6="","",H6*Parameters!$B$1)</f>
        <v>220500</v>
      </c>
      <c r="J6">
        <f t="shared" si="0"/>
        <v>948843</v>
      </c>
    </row>
    <row r="7" spans="1:10">
      <c r="A7" t="s">
        <v>292</v>
      </c>
      <c r="B7" t="s">
        <v>296</v>
      </c>
      <c r="C7" t="s">
        <v>15</v>
      </c>
      <c r="D7" t="s">
        <v>16</v>
      </c>
      <c r="E7" t="s">
        <v>293</v>
      </c>
      <c r="F7" s="2">
        <v>3468300</v>
      </c>
      <c r="G7">
        <f>IF(F7="","",F7*Parameters!$B$1)</f>
        <v>728343</v>
      </c>
      <c r="H7" s="2">
        <v>1050000</v>
      </c>
      <c r="I7">
        <f>IF(H7="","",H7*Parameters!$B$1)</f>
        <v>220500</v>
      </c>
      <c r="J7">
        <f t="shared" si="0"/>
        <v>948843</v>
      </c>
    </row>
    <row r="8" spans="1:10">
      <c r="A8" t="s">
        <v>292</v>
      </c>
      <c r="B8" s="1" t="s">
        <v>297</v>
      </c>
      <c r="C8" t="s">
        <v>15</v>
      </c>
      <c r="D8" t="s">
        <v>16</v>
      </c>
      <c r="E8" t="s">
        <v>293</v>
      </c>
      <c r="F8" s="2">
        <v>3468300</v>
      </c>
      <c r="G8">
        <f>IF(F8="","",F8*Parameters!$B$1)</f>
        <v>728343</v>
      </c>
      <c r="H8" s="2">
        <v>1050000</v>
      </c>
      <c r="I8">
        <f>IF(H8="","",H8*Parameters!$B$1)</f>
        <v>220500</v>
      </c>
      <c r="J8">
        <f t="shared" si="0"/>
        <v>948843</v>
      </c>
    </row>
    <row r="9" spans="1:10">
      <c r="A9" t="s">
        <v>292</v>
      </c>
      <c r="B9" t="s">
        <v>298</v>
      </c>
      <c r="C9" t="s">
        <v>15</v>
      </c>
      <c r="D9" t="s">
        <v>16</v>
      </c>
      <c r="E9" t="s">
        <v>293</v>
      </c>
      <c r="F9" s="2">
        <v>3468300</v>
      </c>
      <c r="G9">
        <f>IF(F9="","",F9*Parameters!$B$1)</f>
        <v>728343</v>
      </c>
      <c r="H9" s="2">
        <v>1050000</v>
      </c>
      <c r="I9">
        <f>IF(H9="","",H9*Parameters!$B$1)</f>
        <v>220500</v>
      </c>
      <c r="J9">
        <f t="shared" si="0"/>
        <v>948843</v>
      </c>
    </row>
    <row r="10" spans="1:10">
      <c r="A10" t="s">
        <v>292</v>
      </c>
      <c r="B10" t="s">
        <v>299</v>
      </c>
      <c r="C10" t="s">
        <v>15</v>
      </c>
      <c r="D10" t="s">
        <v>16</v>
      </c>
      <c r="E10" t="s">
        <v>293</v>
      </c>
      <c r="F10" s="2">
        <v>3468300</v>
      </c>
      <c r="G10">
        <f>IF(F10="","",F10*Parameters!$B$1)</f>
        <v>728343</v>
      </c>
      <c r="H10" s="2">
        <v>1050000</v>
      </c>
      <c r="I10">
        <f>IF(H10="","",H10*Parameters!$B$1)</f>
        <v>220500</v>
      </c>
      <c r="J10">
        <f t="shared" si="0"/>
        <v>948843</v>
      </c>
    </row>
    <row r="11" spans="1:10">
      <c r="A11" t="s">
        <v>292</v>
      </c>
      <c r="B11" t="s">
        <v>300</v>
      </c>
      <c r="C11" t="s">
        <v>15</v>
      </c>
      <c r="D11" t="s">
        <v>16</v>
      </c>
      <c r="E11" t="s">
        <v>293</v>
      </c>
      <c r="F11" s="2">
        <v>3468300</v>
      </c>
      <c r="G11">
        <f>IF(F11="","",F11*Parameters!$B$1)</f>
        <v>728343</v>
      </c>
      <c r="H11" s="2">
        <v>1050000</v>
      </c>
      <c r="I11">
        <f>IF(H11="","",H11*Parameters!$B$1)</f>
        <v>220500</v>
      </c>
      <c r="J11">
        <f t="shared" si="0"/>
        <v>948843</v>
      </c>
    </row>
    <row r="12" spans="1:10">
      <c r="A12" t="s">
        <v>292</v>
      </c>
      <c r="B12" t="s">
        <v>301</v>
      </c>
      <c r="C12" t="s">
        <v>15</v>
      </c>
      <c r="D12" t="s">
        <v>16</v>
      </c>
      <c r="E12" t="s">
        <v>293</v>
      </c>
      <c r="F12" s="2">
        <v>3468300</v>
      </c>
      <c r="G12">
        <f>IF(F12="","",F12*Parameters!$B$1)</f>
        <v>728343</v>
      </c>
      <c r="H12" s="2">
        <v>1050000</v>
      </c>
      <c r="I12">
        <f>IF(H12="","",H12*Parameters!$B$1)</f>
        <v>220500</v>
      </c>
      <c r="J12">
        <f t="shared" si="0"/>
        <v>948843</v>
      </c>
    </row>
    <row r="13" spans="1:10">
      <c r="A13" t="s">
        <v>292</v>
      </c>
      <c r="B13" t="s">
        <v>302</v>
      </c>
      <c r="C13" t="s">
        <v>15</v>
      </c>
      <c r="D13" t="s">
        <v>16</v>
      </c>
      <c r="E13" t="s">
        <v>293</v>
      </c>
      <c r="F13" s="2">
        <v>3468300</v>
      </c>
      <c r="G13">
        <f>IF(F13="","",F13*Parameters!$B$1)</f>
        <v>728343</v>
      </c>
      <c r="H13" s="2">
        <v>1050000</v>
      </c>
      <c r="I13">
        <f>IF(H13="","",H13*Parameters!$B$1)</f>
        <v>220500</v>
      </c>
      <c r="J13">
        <f t="shared" si="0"/>
        <v>948843</v>
      </c>
    </row>
    <row r="14" spans="1:10">
      <c r="A14" t="s">
        <v>292</v>
      </c>
      <c r="B14" t="s">
        <v>303</v>
      </c>
      <c r="C14" t="s">
        <v>15</v>
      </c>
      <c r="D14" t="s">
        <v>16</v>
      </c>
      <c r="E14" t="s">
        <v>293</v>
      </c>
      <c r="F14" s="2">
        <v>3468300</v>
      </c>
      <c r="G14">
        <f>IF(F14="","",F14*Parameters!$B$1)</f>
        <v>728343</v>
      </c>
      <c r="H14" s="2">
        <v>1050000</v>
      </c>
      <c r="I14">
        <f>IF(H14="","",H14*Parameters!$B$1)</f>
        <v>220500</v>
      </c>
      <c r="J14">
        <f t="shared" si="0"/>
        <v>948843</v>
      </c>
    </row>
    <row r="15" spans="1:10">
      <c r="A15" t="s">
        <v>292</v>
      </c>
      <c r="B15" t="s">
        <v>304</v>
      </c>
      <c r="C15" t="s">
        <v>15</v>
      </c>
      <c r="D15" t="s">
        <v>16</v>
      </c>
      <c r="E15" t="s">
        <v>293</v>
      </c>
      <c r="F15" s="2">
        <v>3468300</v>
      </c>
      <c r="G15">
        <f>IF(F15="","",F15*Parameters!$B$1)</f>
        <v>728343</v>
      </c>
      <c r="H15" s="2">
        <v>1050000</v>
      </c>
      <c r="I15">
        <f>IF(H15="","",H15*Parameters!$B$1)</f>
        <v>220500</v>
      </c>
      <c r="J15">
        <f t="shared" si="0"/>
        <v>948843</v>
      </c>
    </row>
    <row r="16" spans="1:10">
      <c r="A16" t="s">
        <v>292</v>
      </c>
      <c r="B16" t="s">
        <v>305</v>
      </c>
      <c r="C16" t="s">
        <v>15</v>
      </c>
      <c r="D16" t="s">
        <v>16</v>
      </c>
      <c r="E16" t="s">
        <v>293</v>
      </c>
      <c r="F16" s="2">
        <v>3468300</v>
      </c>
      <c r="G16">
        <f>IF(F16="","",F16*Parameters!$B$1)</f>
        <v>728343</v>
      </c>
      <c r="H16" s="2">
        <v>1050000</v>
      </c>
      <c r="I16">
        <f>IF(H16="","",H16*Parameters!$B$1)</f>
        <v>220500</v>
      </c>
      <c r="J16">
        <f t="shared" si="0"/>
        <v>948843</v>
      </c>
    </row>
    <row r="17" spans="1:10">
      <c r="A17" t="s">
        <v>292</v>
      </c>
      <c r="B17" t="s">
        <v>306</v>
      </c>
      <c r="C17" t="s">
        <v>15</v>
      </c>
      <c r="D17" t="s">
        <v>16</v>
      </c>
      <c r="E17" t="s">
        <v>293</v>
      </c>
      <c r="F17" s="2">
        <v>3468300</v>
      </c>
      <c r="G17">
        <f>IF(F17="","",F17*Parameters!$B$1)</f>
        <v>728343</v>
      </c>
      <c r="H17" s="2">
        <v>1050000</v>
      </c>
      <c r="I17">
        <f>IF(H17="","",H17*Parameters!$B$1)</f>
        <v>220500</v>
      </c>
      <c r="J17">
        <f t="shared" si="0"/>
        <v>948843</v>
      </c>
    </row>
    <row r="18" spans="1:10">
      <c r="A18" t="s">
        <v>292</v>
      </c>
      <c r="B18" t="s">
        <v>307</v>
      </c>
      <c r="C18" t="s">
        <v>15</v>
      </c>
      <c r="D18" t="s">
        <v>16</v>
      </c>
      <c r="E18" t="s">
        <v>293</v>
      </c>
      <c r="F18" s="2">
        <v>3468300</v>
      </c>
      <c r="G18">
        <f>IF(F18="","",F18*Parameters!$B$1)</f>
        <v>728343</v>
      </c>
      <c r="H18" s="2">
        <v>1050000</v>
      </c>
      <c r="I18">
        <f>IF(H18="","",H18*Parameters!$B$1)</f>
        <v>220500</v>
      </c>
      <c r="J18">
        <f t="shared" si="0"/>
        <v>948843</v>
      </c>
    </row>
    <row r="19" spans="1:10">
      <c r="A19" t="s">
        <v>292</v>
      </c>
      <c r="B19" t="s">
        <v>308</v>
      </c>
      <c r="C19" t="s">
        <v>15</v>
      </c>
      <c r="D19" t="s">
        <v>16</v>
      </c>
      <c r="E19" t="s">
        <v>293</v>
      </c>
      <c r="F19" s="2">
        <v>3468300</v>
      </c>
      <c r="G19">
        <f>IF(F19="","",F19*Parameters!$B$1)</f>
        <v>728343</v>
      </c>
      <c r="H19" s="2">
        <v>1050000</v>
      </c>
      <c r="I19">
        <f>IF(H19="","",H19*Parameters!$B$1)</f>
        <v>220500</v>
      </c>
      <c r="J19">
        <f t="shared" si="0"/>
        <v>948843</v>
      </c>
    </row>
    <row r="20" spans="1:10">
      <c r="A20" t="s">
        <v>292</v>
      </c>
      <c r="B20" t="s">
        <v>309</v>
      </c>
      <c r="C20" t="s">
        <v>15</v>
      </c>
      <c r="D20" t="s">
        <v>16</v>
      </c>
      <c r="E20" t="s">
        <v>293</v>
      </c>
      <c r="F20" s="2">
        <v>3468300</v>
      </c>
      <c r="G20">
        <f>IF(F20="","",F20*Parameters!$B$1)</f>
        <v>728343</v>
      </c>
      <c r="H20" s="2">
        <v>1050000</v>
      </c>
      <c r="I20">
        <f>IF(H20="","",H20*Parameters!$B$1)</f>
        <v>220500</v>
      </c>
      <c r="J20">
        <f t="shared" si="0"/>
        <v>948843</v>
      </c>
    </row>
    <row r="21" spans="1:10">
      <c r="A21" t="s">
        <v>292</v>
      </c>
      <c r="B21" t="s">
        <v>310</v>
      </c>
      <c r="C21" t="s">
        <v>15</v>
      </c>
      <c r="D21" t="s">
        <v>16</v>
      </c>
      <c r="E21" t="s">
        <v>293</v>
      </c>
      <c r="F21" s="2">
        <v>3468300</v>
      </c>
      <c r="G21">
        <f>IF(F21="","",F21*Parameters!$B$1)</f>
        <v>728343</v>
      </c>
      <c r="H21" s="2">
        <v>1050000</v>
      </c>
      <c r="I21">
        <f>IF(H21="","",H21*Parameters!$B$1)</f>
        <v>220500</v>
      </c>
      <c r="J21">
        <f t="shared" si="0"/>
        <v>948843</v>
      </c>
    </row>
    <row r="22" spans="1:10">
      <c r="A22" t="s">
        <v>292</v>
      </c>
      <c r="B22" t="s">
        <v>311</v>
      </c>
      <c r="C22" t="s">
        <v>15</v>
      </c>
      <c r="D22" t="s">
        <v>16</v>
      </c>
      <c r="E22" t="s">
        <v>293</v>
      </c>
      <c r="F22" s="3">
        <v>3457300</v>
      </c>
      <c r="G22">
        <f>IF(F22="","",F22*Parameters!$B$1)</f>
        <v>726033</v>
      </c>
      <c r="H22" s="2">
        <v>1050000</v>
      </c>
      <c r="I22">
        <f>IF(H22="","",H22*Parameters!$B$1)</f>
        <v>220500</v>
      </c>
      <c r="J22">
        <f t="shared" si="0"/>
        <v>946533</v>
      </c>
    </row>
    <row r="23" spans="1:10">
      <c r="A23" t="s">
        <v>292</v>
      </c>
      <c r="B23" t="s">
        <v>312</v>
      </c>
      <c r="C23" t="s">
        <v>15</v>
      </c>
      <c r="D23" t="s">
        <v>16</v>
      </c>
      <c r="E23" t="s">
        <v>313</v>
      </c>
      <c r="F23" s="3">
        <v>3457300</v>
      </c>
      <c r="G23">
        <f>IF(F23="","",F23*Parameters!$B$1)</f>
        <v>726033</v>
      </c>
      <c r="H23" s="2">
        <v>1050000</v>
      </c>
      <c r="I23">
        <f>IF(H23="","",H23*Parameters!$B$1)</f>
        <v>220500</v>
      </c>
      <c r="J23">
        <f t="shared" si="0"/>
        <v>946533</v>
      </c>
    </row>
    <row r="24" spans="1:10">
      <c r="A24" t="s">
        <v>292</v>
      </c>
      <c r="B24" t="s">
        <v>314</v>
      </c>
      <c r="C24" t="s">
        <v>15</v>
      </c>
      <c r="D24" t="s">
        <v>16</v>
      </c>
      <c r="E24" t="s">
        <v>313</v>
      </c>
      <c r="F24" s="3">
        <v>3457300</v>
      </c>
      <c r="G24">
        <f>IF(F24="","",F24*Parameters!$B$1)</f>
        <v>726033</v>
      </c>
      <c r="H24" s="2">
        <v>1050000</v>
      </c>
      <c r="I24">
        <f>IF(H24="","",H24*Parameters!$B$1)</f>
        <v>220500</v>
      </c>
      <c r="J24">
        <f t="shared" si="0"/>
        <v>946533</v>
      </c>
    </row>
    <row r="25" spans="1:10">
      <c r="A25" t="s">
        <v>292</v>
      </c>
      <c r="B25" s="1" t="s">
        <v>315</v>
      </c>
      <c r="C25" t="s">
        <v>15</v>
      </c>
      <c r="D25" t="s">
        <v>16</v>
      </c>
      <c r="E25" t="s">
        <v>313</v>
      </c>
      <c r="F25" s="2">
        <v>3521300</v>
      </c>
      <c r="G25">
        <f>IF(F25="","",F25*Parameters!$B$1)</f>
        <v>739473</v>
      </c>
      <c r="H25" s="2">
        <v>1050000</v>
      </c>
      <c r="I25">
        <f>IF(H25="","",H25*Parameters!$B$1)</f>
        <v>220500</v>
      </c>
      <c r="J25">
        <f t="shared" si="0"/>
        <v>959973</v>
      </c>
    </row>
    <row r="26" spans="1:10">
      <c r="A26" t="s">
        <v>292</v>
      </c>
      <c r="B26" t="s">
        <v>316</v>
      </c>
      <c r="C26" t="s">
        <v>15</v>
      </c>
      <c r="D26" t="s">
        <v>16</v>
      </c>
      <c r="E26" t="s">
        <v>313</v>
      </c>
      <c r="F26" s="2">
        <v>3521300</v>
      </c>
      <c r="G26">
        <f>IF(F26="","",F26*Parameters!$B$1)</f>
        <v>739473</v>
      </c>
      <c r="H26" s="2">
        <v>1050000</v>
      </c>
      <c r="I26">
        <f>IF(H26="","",H26*Parameters!$B$1)</f>
        <v>220500</v>
      </c>
      <c r="J26">
        <f t="shared" si="0"/>
        <v>959973</v>
      </c>
    </row>
    <row r="27" spans="1:10">
      <c r="A27" t="s">
        <v>292</v>
      </c>
      <c r="B27" t="s">
        <v>317</v>
      </c>
      <c r="C27" t="s">
        <v>15</v>
      </c>
      <c r="D27" t="s">
        <v>16</v>
      </c>
      <c r="E27" t="s">
        <v>313</v>
      </c>
      <c r="F27" s="2">
        <v>3521300</v>
      </c>
      <c r="G27">
        <f>IF(F27="","",F27*Parameters!$B$1)</f>
        <v>739473</v>
      </c>
      <c r="H27" s="2">
        <v>1050000</v>
      </c>
      <c r="I27">
        <f>IF(H27="","",H27*Parameters!$B$1)</f>
        <v>220500</v>
      </c>
      <c r="J27">
        <f t="shared" si="0"/>
        <v>959973</v>
      </c>
    </row>
    <row r="28" spans="1:10">
      <c r="A28" t="s">
        <v>292</v>
      </c>
      <c r="B28" t="s">
        <v>205</v>
      </c>
      <c r="C28" t="s">
        <v>15</v>
      </c>
      <c r="D28" t="s">
        <v>16</v>
      </c>
      <c r="E28" t="s">
        <v>318</v>
      </c>
      <c r="F28" s="2">
        <v>3521300</v>
      </c>
      <c r="G28">
        <f>IF(F28="","",F28*Parameters!$B$1)</f>
        <v>739473</v>
      </c>
      <c r="H28" s="2">
        <v>1050000</v>
      </c>
      <c r="I28">
        <f>IF(H28="","",H28*Parameters!$B$1)</f>
        <v>220500</v>
      </c>
      <c r="J28">
        <f t="shared" si="0"/>
        <v>959973</v>
      </c>
    </row>
    <row r="29" spans="1:10">
      <c r="A29" t="s">
        <v>292</v>
      </c>
      <c r="B29" t="s">
        <v>319</v>
      </c>
      <c r="C29" t="s">
        <v>15</v>
      </c>
      <c r="D29" t="s">
        <v>16</v>
      </c>
      <c r="E29" t="s">
        <v>313</v>
      </c>
      <c r="F29" s="2">
        <v>3521300</v>
      </c>
      <c r="G29">
        <f>IF(F29="","",F29*Parameters!$B$1)</f>
        <v>739473</v>
      </c>
      <c r="H29" s="2">
        <v>1050000</v>
      </c>
      <c r="I29">
        <f>IF(H29="","",H29*Parameters!$B$1)</f>
        <v>220500</v>
      </c>
      <c r="J29">
        <f t="shared" si="0"/>
        <v>959973</v>
      </c>
    </row>
    <row r="30" spans="1:10">
      <c r="A30" t="s">
        <v>292</v>
      </c>
      <c r="B30" s="1" t="s">
        <v>320</v>
      </c>
      <c r="C30" t="s">
        <v>15</v>
      </c>
      <c r="D30" t="s">
        <v>16</v>
      </c>
      <c r="E30" t="s">
        <v>293</v>
      </c>
      <c r="F30" s="2">
        <v>3521300</v>
      </c>
      <c r="G30">
        <f>IF(F30="","",F30*Parameters!$B$1)</f>
        <v>739473</v>
      </c>
      <c r="H30" s="2">
        <v>1050000</v>
      </c>
      <c r="I30">
        <f>IF(H30="","",H30*Parameters!$B$1)</f>
        <v>220500</v>
      </c>
      <c r="J30">
        <f t="shared" si="0"/>
        <v>959973</v>
      </c>
    </row>
    <row r="31" spans="1:10">
      <c r="A31" t="s">
        <v>292</v>
      </c>
      <c r="B31" t="s">
        <v>321</v>
      </c>
      <c r="C31" t="s">
        <v>15</v>
      </c>
      <c r="D31" t="s">
        <v>16</v>
      </c>
      <c r="E31" t="s">
        <v>313</v>
      </c>
      <c r="F31" s="2">
        <v>3214300</v>
      </c>
      <c r="G31">
        <f>IF(F31="","",F31*Parameters!$B$1)</f>
        <v>675003</v>
      </c>
      <c r="H31" s="2">
        <v>1050000</v>
      </c>
      <c r="I31">
        <f>IF(H31="","",H31*Parameters!$B$1)</f>
        <v>220500</v>
      </c>
      <c r="J31">
        <f t="shared" si="0"/>
        <v>895503</v>
      </c>
    </row>
    <row r="32" spans="1:10">
      <c r="A32" t="s">
        <v>292</v>
      </c>
      <c r="B32" t="s">
        <v>322</v>
      </c>
      <c r="C32" t="s">
        <v>15</v>
      </c>
      <c r="D32" t="s">
        <v>16</v>
      </c>
      <c r="E32" t="s">
        <v>293</v>
      </c>
      <c r="F32" s="2">
        <v>3175300</v>
      </c>
      <c r="G32">
        <f>IF(F32="","",F32*Parameters!$B$1)</f>
        <v>666813</v>
      </c>
      <c r="H32" s="2">
        <v>1050000</v>
      </c>
      <c r="I32">
        <f>IF(H32="","",H32*Parameters!$B$1)</f>
        <v>220500</v>
      </c>
      <c r="J32">
        <f t="shared" si="0"/>
        <v>887313</v>
      </c>
    </row>
    <row r="33" spans="1:10">
      <c r="A33" t="s">
        <v>292</v>
      </c>
      <c r="B33" t="s">
        <v>128</v>
      </c>
      <c r="C33" t="s">
        <v>15</v>
      </c>
      <c r="D33" t="s">
        <v>16</v>
      </c>
      <c r="E33" t="s">
        <v>293</v>
      </c>
      <c r="F33" s="2">
        <v>3175300</v>
      </c>
      <c r="G33">
        <f>IF(F33="","",F33*Parameters!$B$1)</f>
        <v>666813</v>
      </c>
      <c r="H33" s="2">
        <v>1050000</v>
      </c>
      <c r="I33">
        <f>IF(H33="","",H33*Parameters!$B$1)</f>
        <v>220500</v>
      </c>
      <c r="J33">
        <f t="shared" si="0"/>
        <v>887313</v>
      </c>
    </row>
    <row r="34" spans="1:10">
      <c r="A34" t="s">
        <v>292</v>
      </c>
      <c r="B34" t="s">
        <v>323</v>
      </c>
      <c r="C34" t="s">
        <v>15</v>
      </c>
      <c r="D34" t="s">
        <v>16</v>
      </c>
      <c r="E34" t="s">
        <v>293</v>
      </c>
      <c r="F34" s="2">
        <v>3175300</v>
      </c>
      <c r="G34">
        <f>IF(F34="","",F34*Parameters!$B$1)</f>
        <v>666813</v>
      </c>
      <c r="H34" s="2">
        <v>1050000</v>
      </c>
      <c r="I34">
        <f>IF(H34="","",H34*Parameters!$B$1)</f>
        <v>220500</v>
      </c>
      <c r="J34">
        <f t="shared" si="0"/>
        <v>887313</v>
      </c>
    </row>
    <row r="35" spans="1:10">
      <c r="A35" t="s">
        <v>292</v>
      </c>
      <c r="B35" t="s">
        <v>324</v>
      </c>
      <c r="C35" t="s">
        <v>15</v>
      </c>
      <c r="D35" t="s">
        <v>16</v>
      </c>
      <c r="E35" t="s">
        <v>293</v>
      </c>
      <c r="F35" s="2">
        <v>3175300</v>
      </c>
      <c r="G35">
        <f>IF(F35="","",F35*Parameters!$B$1)</f>
        <v>666813</v>
      </c>
      <c r="H35" s="2">
        <v>1050000</v>
      </c>
      <c r="I35">
        <f>IF(H35="","",H35*Parameters!$B$1)</f>
        <v>220500</v>
      </c>
      <c r="J35">
        <f t="shared" si="0"/>
        <v>887313</v>
      </c>
    </row>
    <row r="36" spans="1:10">
      <c r="A36" t="s">
        <v>292</v>
      </c>
      <c r="B36" t="s">
        <v>325</v>
      </c>
      <c r="C36" t="s">
        <v>15</v>
      </c>
      <c r="D36" t="s">
        <v>16</v>
      </c>
      <c r="E36" t="s">
        <v>293</v>
      </c>
      <c r="F36" s="2">
        <v>3175300</v>
      </c>
      <c r="G36">
        <f>IF(F36="","",F36*Parameters!$B$1)</f>
        <v>666813</v>
      </c>
      <c r="H36" s="2">
        <v>1050000</v>
      </c>
      <c r="I36">
        <f>IF(H36="","",H36*Parameters!$B$1)</f>
        <v>220500</v>
      </c>
      <c r="J36">
        <f t="shared" si="0"/>
        <v>887313</v>
      </c>
    </row>
    <row r="37" spans="1:10">
      <c r="A37" t="s">
        <v>292</v>
      </c>
      <c r="B37" s="1" t="s">
        <v>326</v>
      </c>
      <c r="C37" t="s">
        <v>15</v>
      </c>
      <c r="D37" t="s">
        <v>16</v>
      </c>
      <c r="E37" t="s">
        <v>293</v>
      </c>
      <c r="F37" s="2">
        <v>3403300</v>
      </c>
      <c r="G37">
        <f>IF(F37="","",F37*Parameters!$B$1)</f>
        <v>714693</v>
      </c>
      <c r="H37" s="2">
        <v>1050000</v>
      </c>
      <c r="I37">
        <f>IF(H37="","",H37*Parameters!$B$1)</f>
        <v>220500</v>
      </c>
      <c r="J37">
        <f t="shared" si="0"/>
        <v>935193</v>
      </c>
    </row>
    <row r="38" spans="1:10">
      <c r="A38" t="s">
        <v>292</v>
      </c>
      <c r="B38" t="s">
        <v>327</v>
      </c>
      <c r="C38" t="s">
        <v>15</v>
      </c>
      <c r="D38" t="s">
        <v>16</v>
      </c>
      <c r="E38" t="s">
        <v>293</v>
      </c>
      <c r="F38" s="2">
        <v>3403300</v>
      </c>
      <c r="G38">
        <f>IF(F38="","",F38*Parameters!$B$1)</f>
        <v>714693</v>
      </c>
      <c r="H38" s="2">
        <v>1050000</v>
      </c>
      <c r="I38">
        <f>IF(H38="","",H38*Parameters!$B$1)</f>
        <v>220500</v>
      </c>
      <c r="J38">
        <f t="shared" si="0"/>
        <v>935193</v>
      </c>
    </row>
    <row r="40" spans="1:10">
      <c r="B40" t="s">
        <v>328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ECE0-F185-4292-9BD0-C1BDDC335DC9}">
  <dimension ref="A1:M26"/>
  <sheetViews>
    <sheetView topLeftCell="C1" zoomScale="129" workbookViewId="0">
      <pane ySplit="1" topLeftCell="M2" activePane="bottomLeft" state="frozen"/>
      <selection pane="bottomLeft" activeCell="A21" sqref="A21"/>
    </sheetView>
  </sheetViews>
  <sheetFormatPr defaultRowHeight="15"/>
  <cols>
    <col min="1" max="1" width="34" customWidth="1"/>
    <col min="2" max="2" width="58" customWidth="1"/>
    <col min="3" max="5" width="14" customWidth="1"/>
    <col min="6" max="7" width="16" customWidth="1"/>
    <col min="8" max="8" width="36" customWidth="1"/>
    <col min="9" max="9" width="20" customWidth="1"/>
    <col min="10" max="10" width="34" customWidth="1"/>
    <col min="11" max="11" width="20" customWidth="1"/>
    <col min="12" max="13" width="24" customWidth="1"/>
  </cols>
  <sheetData>
    <row r="1" spans="1:13">
      <c r="A1" t="s">
        <v>0</v>
      </c>
      <c r="B1" t="s">
        <v>329</v>
      </c>
      <c r="C1" t="s">
        <v>2</v>
      </c>
      <c r="D1" t="s">
        <v>3</v>
      </c>
      <c r="E1" t="s">
        <v>4</v>
      </c>
      <c r="F1" t="s">
        <v>330</v>
      </c>
      <c r="G1" t="s">
        <v>6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</row>
    <row r="2" spans="1:13">
      <c r="A2" t="s">
        <v>337</v>
      </c>
      <c r="B2" t="s">
        <v>338</v>
      </c>
      <c r="C2" t="s">
        <v>16</v>
      </c>
      <c r="D2" t="s">
        <v>15</v>
      </c>
      <c r="E2" t="s">
        <v>17</v>
      </c>
      <c r="F2">
        <v>3897</v>
      </c>
      <c r="G2">
        <f>IFERROR(ROUND(F2*309.65,0),"")</f>
        <v>1206706</v>
      </c>
      <c r="H2">
        <v>2352</v>
      </c>
      <c r="I2">
        <f t="shared" ref="I2:I26" si="0">IFERROR(ROUND(H2*309.65,0),"")</f>
        <v>728297</v>
      </c>
      <c r="J2">
        <v>340</v>
      </c>
      <c r="K2">
        <f t="shared" ref="K2:K26" si="1">IFERROR(ROUND(J2*309.65,0),"")</f>
        <v>105281</v>
      </c>
      <c r="L2">
        <f t="shared" ref="L2:L26" si="2">IF(OR(G2="",I2=""),"",G2+I2)</f>
        <v>1935003</v>
      </c>
      <c r="M2">
        <f t="shared" ref="M2:M26" si="3">IF(OR(G2="",K2=""),"",G2+K2)</f>
        <v>1311987</v>
      </c>
    </row>
    <row r="3" spans="1:13">
      <c r="A3" t="s">
        <v>337</v>
      </c>
      <c r="B3" t="s">
        <v>339</v>
      </c>
      <c r="C3" t="s">
        <v>16</v>
      </c>
      <c r="D3" t="s">
        <v>15</v>
      </c>
      <c r="E3" t="s">
        <v>17</v>
      </c>
      <c r="F3">
        <v>6296</v>
      </c>
      <c r="G3">
        <f t="shared" ref="G2:G26" si="4">IFERROR(ROUND(F3*309.65,0),"")</f>
        <v>1949556</v>
      </c>
      <c r="H3">
        <v>2352</v>
      </c>
      <c r="I3">
        <f t="shared" si="0"/>
        <v>728297</v>
      </c>
      <c r="J3">
        <v>340</v>
      </c>
      <c r="K3">
        <f t="shared" si="1"/>
        <v>105281</v>
      </c>
      <c r="L3">
        <f t="shared" si="2"/>
        <v>2677853</v>
      </c>
      <c r="M3">
        <f t="shared" si="3"/>
        <v>2054837</v>
      </c>
    </row>
    <row r="4" spans="1:13">
      <c r="A4" t="s">
        <v>337</v>
      </c>
      <c r="B4" t="s">
        <v>340</v>
      </c>
      <c r="C4" t="s">
        <v>16</v>
      </c>
      <c r="D4" t="s">
        <v>15</v>
      </c>
      <c r="E4" t="s">
        <v>17</v>
      </c>
      <c r="F4">
        <v>3396</v>
      </c>
      <c r="G4">
        <f>IFERROR(ROUND(F4*309.65,0),"")</f>
        <v>1051571</v>
      </c>
      <c r="H4">
        <v>2352</v>
      </c>
      <c r="I4">
        <f t="shared" si="0"/>
        <v>728297</v>
      </c>
      <c r="J4">
        <v>340</v>
      </c>
      <c r="K4">
        <f t="shared" si="1"/>
        <v>105281</v>
      </c>
      <c r="L4">
        <f t="shared" si="2"/>
        <v>1779868</v>
      </c>
      <c r="M4">
        <f t="shared" si="3"/>
        <v>1156852</v>
      </c>
    </row>
    <row r="5" spans="1:13">
      <c r="A5" t="s">
        <v>337</v>
      </c>
      <c r="B5" t="s">
        <v>341</v>
      </c>
      <c r="C5" t="s">
        <v>16</v>
      </c>
      <c r="D5" t="s">
        <v>15</v>
      </c>
      <c r="E5" t="s">
        <v>17</v>
      </c>
      <c r="F5">
        <v>3396</v>
      </c>
      <c r="G5">
        <f t="shared" si="4"/>
        <v>1051571</v>
      </c>
      <c r="H5">
        <v>2352</v>
      </c>
      <c r="I5">
        <f t="shared" si="0"/>
        <v>728297</v>
      </c>
      <c r="J5">
        <v>340</v>
      </c>
      <c r="K5">
        <f t="shared" si="1"/>
        <v>105281</v>
      </c>
      <c r="L5">
        <f t="shared" si="2"/>
        <v>1779868</v>
      </c>
      <c r="M5">
        <f t="shared" si="3"/>
        <v>1156852</v>
      </c>
    </row>
    <row r="6" spans="1:13">
      <c r="A6" t="s">
        <v>337</v>
      </c>
      <c r="B6" t="s">
        <v>342</v>
      </c>
      <c r="C6" t="s">
        <v>16</v>
      </c>
      <c r="D6" t="s">
        <v>15</v>
      </c>
      <c r="E6" t="s">
        <v>17</v>
      </c>
      <c r="F6">
        <v>3897</v>
      </c>
      <c r="G6">
        <f t="shared" si="4"/>
        <v>1206706</v>
      </c>
      <c r="H6">
        <v>2352</v>
      </c>
      <c r="I6">
        <f t="shared" si="0"/>
        <v>728297</v>
      </c>
      <c r="J6">
        <v>340</v>
      </c>
      <c r="K6">
        <f t="shared" si="1"/>
        <v>105281</v>
      </c>
      <c r="L6">
        <f t="shared" si="2"/>
        <v>1935003</v>
      </c>
      <c r="M6">
        <f t="shared" si="3"/>
        <v>1311987</v>
      </c>
    </row>
    <row r="7" spans="1:13">
      <c r="A7" t="s">
        <v>337</v>
      </c>
      <c r="B7" t="s">
        <v>343</v>
      </c>
      <c r="C7" t="s">
        <v>16</v>
      </c>
      <c r="D7" t="s">
        <v>15</v>
      </c>
      <c r="E7" t="s">
        <v>17</v>
      </c>
      <c r="F7">
        <v>4221</v>
      </c>
      <c r="G7">
        <f t="shared" si="4"/>
        <v>1307033</v>
      </c>
      <c r="H7">
        <v>2352</v>
      </c>
      <c r="I7">
        <f t="shared" si="0"/>
        <v>728297</v>
      </c>
      <c r="J7">
        <v>340</v>
      </c>
      <c r="K7">
        <f t="shared" si="1"/>
        <v>105281</v>
      </c>
      <c r="L7">
        <f t="shared" si="2"/>
        <v>2035330</v>
      </c>
      <c r="M7">
        <f t="shared" si="3"/>
        <v>1412314</v>
      </c>
    </row>
    <row r="8" spans="1:13">
      <c r="A8" t="s">
        <v>337</v>
      </c>
      <c r="B8" t="s">
        <v>344</v>
      </c>
      <c r="C8" t="s">
        <v>16</v>
      </c>
      <c r="D8" t="s">
        <v>15</v>
      </c>
      <c r="E8" t="s">
        <v>17</v>
      </c>
      <c r="F8">
        <v>4221</v>
      </c>
      <c r="G8">
        <f>IFERROR(ROUND(F8*309.65,0),"")</f>
        <v>1307033</v>
      </c>
      <c r="H8">
        <v>2352</v>
      </c>
      <c r="I8">
        <f t="shared" si="0"/>
        <v>728297</v>
      </c>
      <c r="J8">
        <v>340</v>
      </c>
      <c r="K8">
        <f t="shared" si="1"/>
        <v>105281</v>
      </c>
      <c r="L8">
        <f t="shared" si="2"/>
        <v>2035330</v>
      </c>
      <c r="M8">
        <f t="shared" si="3"/>
        <v>1412314</v>
      </c>
    </row>
    <row r="9" spans="1:13">
      <c r="A9" t="s">
        <v>337</v>
      </c>
      <c r="B9" t="s">
        <v>345</v>
      </c>
      <c r="C9" t="s">
        <v>16</v>
      </c>
      <c r="D9" t="s">
        <v>15</v>
      </c>
      <c r="E9" t="s">
        <v>17</v>
      </c>
      <c r="F9">
        <v>5247</v>
      </c>
      <c r="G9">
        <f t="shared" si="4"/>
        <v>1624734</v>
      </c>
      <c r="H9">
        <v>2352</v>
      </c>
      <c r="I9">
        <f t="shared" si="0"/>
        <v>728297</v>
      </c>
      <c r="J9">
        <v>340</v>
      </c>
      <c r="K9">
        <f t="shared" si="1"/>
        <v>105281</v>
      </c>
      <c r="L9">
        <f t="shared" si="2"/>
        <v>2353031</v>
      </c>
      <c r="M9">
        <f t="shared" si="3"/>
        <v>1730015</v>
      </c>
    </row>
    <row r="10" spans="1:13">
      <c r="A10" t="s">
        <v>337</v>
      </c>
      <c r="B10" t="s">
        <v>346</v>
      </c>
      <c r="C10" t="s">
        <v>16</v>
      </c>
      <c r="D10" t="s">
        <v>15</v>
      </c>
      <c r="E10" t="s">
        <v>17</v>
      </c>
      <c r="F10">
        <v>5247</v>
      </c>
      <c r="G10">
        <f t="shared" si="4"/>
        <v>1624734</v>
      </c>
      <c r="H10">
        <v>2352</v>
      </c>
      <c r="I10">
        <f t="shared" si="0"/>
        <v>728297</v>
      </c>
      <c r="J10">
        <v>340</v>
      </c>
      <c r="K10">
        <f t="shared" si="1"/>
        <v>105281</v>
      </c>
      <c r="L10">
        <f t="shared" si="2"/>
        <v>2353031</v>
      </c>
      <c r="M10">
        <f t="shared" si="3"/>
        <v>1730015</v>
      </c>
    </row>
    <row r="11" spans="1:13">
      <c r="A11" t="s">
        <v>337</v>
      </c>
      <c r="B11" t="s">
        <v>347</v>
      </c>
      <c r="C11" t="s">
        <v>16</v>
      </c>
      <c r="D11" t="s">
        <v>15</v>
      </c>
      <c r="E11" t="s">
        <v>17</v>
      </c>
      <c r="F11">
        <v>3999</v>
      </c>
      <c r="G11">
        <f t="shared" si="4"/>
        <v>1238290</v>
      </c>
      <c r="H11">
        <v>2352</v>
      </c>
      <c r="I11">
        <f t="shared" si="0"/>
        <v>728297</v>
      </c>
      <c r="J11">
        <v>340</v>
      </c>
      <c r="K11">
        <f t="shared" si="1"/>
        <v>105281</v>
      </c>
      <c r="L11">
        <f t="shared" si="2"/>
        <v>1966587</v>
      </c>
      <c r="M11">
        <f t="shared" si="3"/>
        <v>1343571</v>
      </c>
    </row>
    <row r="12" spans="1:13">
      <c r="A12" t="s">
        <v>337</v>
      </c>
      <c r="B12" t="s">
        <v>348</v>
      </c>
      <c r="C12" t="s">
        <v>16</v>
      </c>
      <c r="D12" t="s">
        <v>15</v>
      </c>
      <c r="E12" t="s">
        <v>17</v>
      </c>
      <c r="F12">
        <v>3897</v>
      </c>
      <c r="G12">
        <f t="shared" si="4"/>
        <v>1206706</v>
      </c>
      <c r="H12">
        <v>2352</v>
      </c>
      <c r="I12">
        <f t="shared" si="0"/>
        <v>728297</v>
      </c>
      <c r="J12">
        <v>340</v>
      </c>
      <c r="K12">
        <f t="shared" si="1"/>
        <v>105281</v>
      </c>
      <c r="L12">
        <f t="shared" si="2"/>
        <v>1935003</v>
      </c>
      <c r="M12">
        <f t="shared" si="3"/>
        <v>1311987</v>
      </c>
    </row>
    <row r="13" spans="1:13">
      <c r="A13" t="s">
        <v>337</v>
      </c>
      <c r="B13" t="s">
        <v>321</v>
      </c>
      <c r="C13" t="s">
        <v>16</v>
      </c>
      <c r="D13" t="s">
        <v>15</v>
      </c>
      <c r="E13" t="s">
        <v>17</v>
      </c>
      <c r="F13">
        <v>3396</v>
      </c>
      <c r="G13">
        <f t="shared" ref="G13" si="5">IFERROR(ROUND(F13*309.65,0),"")</f>
        <v>1051571</v>
      </c>
      <c r="H13">
        <v>2352</v>
      </c>
      <c r="I13">
        <f t="shared" ref="I13" si="6">IFERROR(ROUND(H13*309.65,0),"")</f>
        <v>728297</v>
      </c>
      <c r="J13">
        <v>340</v>
      </c>
      <c r="K13">
        <f t="shared" ref="K13" si="7">IFERROR(ROUND(J13*309.65,0),"")</f>
        <v>105281</v>
      </c>
      <c r="L13">
        <f t="shared" ref="L13" si="8">IF(OR(G13="",I13=""),"",G13+I13)</f>
        <v>1779868</v>
      </c>
      <c r="M13">
        <f t="shared" ref="M13" si="9">IF(OR(G13="",K13=""),"",G13+K13)</f>
        <v>1156852</v>
      </c>
    </row>
    <row r="14" spans="1:13">
      <c r="A14" t="s">
        <v>337</v>
      </c>
      <c r="B14" t="s">
        <v>349</v>
      </c>
      <c r="C14" t="s">
        <v>16</v>
      </c>
      <c r="D14" t="s">
        <v>15</v>
      </c>
      <c r="E14" t="s">
        <v>17</v>
      </c>
      <c r="F14">
        <v>1920</v>
      </c>
      <c r="G14">
        <f t="shared" si="4"/>
        <v>594528</v>
      </c>
      <c r="H14">
        <v>2352</v>
      </c>
      <c r="I14">
        <f t="shared" si="0"/>
        <v>728297</v>
      </c>
      <c r="J14">
        <v>340</v>
      </c>
      <c r="K14">
        <f t="shared" si="1"/>
        <v>105281</v>
      </c>
      <c r="L14">
        <f t="shared" si="2"/>
        <v>1322825</v>
      </c>
      <c r="M14">
        <f t="shared" si="3"/>
        <v>699809</v>
      </c>
    </row>
    <row r="15" spans="1:13">
      <c r="A15" t="s">
        <v>337</v>
      </c>
      <c r="B15" t="s">
        <v>350</v>
      </c>
      <c r="C15" t="s">
        <v>16</v>
      </c>
      <c r="D15" t="s">
        <v>15</v>
      </c>
      <c r="E15" t="s">
        <v>50</v>
      </c>
      <c r="F15">
        <v>5619</v>
      </c>
      <c r="G15">
        <f t="shared" si="4"/>
        <v>1739923</v>
      </c>
      <c r="H15">
        <v>2352</v>
      </c>
      <c r="I15">
        <f t="shared" si="0"/>
        <v>728297</v>
      </c>
      <c r="J15">
        <v>340</v>
      </c>
      <c r="K15">
        <f t="shared" si="1"/>
        <v>105281</v>
      </c>
      <c r="L15">
        <f t="shared" si="2"/>
        <v>2468220</v>
      </c>
      <c r="M15">
        <f t="shared" si="3"/>
        <v>1845204</v>
      </c>
    </row>
    <row r="16" spans="1:13">
      <c r="A16" t="s">
        <v>337</v>
      </c>
      <c r="B16" t="s">
        <v>351</v>
      </c>
      <c r="C16" t="s">
        <v>16</v>
      </c>
      <c r="D16" t="s">
        <v>15</v>
      </c>
      <c r="E16" t="s">
        <v>50</v>
      </c>
      <c r="F16">
        <v>4875</v>
      </c>
      <c r="G16">
        <f t="shared" si="4"/>
        <v>1509544</v>
      </c>
      <c r="H16">
        <v>2352</v>
      </c>
      <c r="I16">
        <f t="shared" si="0"/>
        <v>728297</v>
      </c>
      <c r="J16">
        <v>340</v>
      </c>
      <c r="K16">
        <f t="shared" si="1"/>
        <v>105281</v>
      </c>
      <c r="L16">
        <f t="shared" si="2"/>
        <v>2237841</v>
      </c>
      <c r="M16">
        <f t="shared" si="3"/>
        <v>1614825</v>
      </c>
    </row>
    <row r="17" spans="1:13">
      <c r="A17" t="s">
        <v>337</v>
      </c>
      <c r="B17" t="s">
        <v>352</v>
      </c>
      <c r="C17" t="s">
        <v>16</v>
      </c>
      <c r="D17" t="s">
        <v>15</v>
      </c>
      <c r="E17" t="s">
        <v>50</v>
      </c>
      <c r="F17">
        <v>4875</v>
      </c>
      <c r="G17">
        <f t="shared" si="4"/>
        <v>1509544</v>
      </c>
      <c r="H17">
        <v>2352</v>
      </c>
      <c r="I17">
        <f t="shared" si="0"/>
        <v>728297</v>
      </c>
      <c r="J17">
        <v>340</v>
      </c>
      <c r="K17">
        <f t="shared" si="1"/>
        <v>105281</v>
      </c>
      <c r="L17">
        <f t="shared" si="2"/>
        <v>2237841</v>
      </c>
      <c r="M17">
        <f t="shared" si="3"/>
        <v>1614825</v>
      </c>
    </row>
    <row r="18" spans="1:13">
      <c r="A18" t="s">
        <v>337</v>
      </c>
      <c r="B18" t="s">
        <v>353</v>
      </c>
      <c r="C18" t="s">
        <v>16</v>
      </c>
      <c r="D18" t="s">
        <v>15</v>
      </c>
      <c r="E18" t="s">
        <v>50</v>
      </c>
      <c r="F18">
        <v>3507</v>
      </c>
      <c r="G18">
        <f t="shared" si="4"/>
        <v>1085943</v>
      </c>
      <c r="H18">
        <v>2352</v>
      </c>
      <c r="I18">
        <f t="shared" si="0"/>
        <v>728297</v>
      </c>
      <c r="J18">
        <v>340</v>
      </c>
      <c r="K18">
        <f t="shared" si="1"/>
        <v>105281</v>
      </c>
      <c r="L18">
        <f t="shared" si="2"/>
        <v>1814240</v>
      </c>
      <c r="M18">
        <f t="shared" si="3"/>
        <v>1191224</v>
      </c>
    </row>
    <row r="19" spans="1:13">
      <c r="A19" t="s">
        <v>337</v>
      </c>
      <c r="B19" t="s">
        <v>354</v>
      </c>
      <c r="C19" t="s">
        <v>16</v>
      </c>
      <c r="D19" t="s">
        <v>15</v>
      </c>
      <c r="E19" t="s">
        <v>50</v>
      </c>
      <c r="F19">
        <v>14082</v>
      </c>
      <c r="G19">
        <f t="shared" si="4"/>
        <v>4360491</v>
      </c>
      <c r="H19">
        <v>2352</v>
      </c>
      <c r="I19">
        <f t="shared" si="0"/>
        <v>728297</v>
      </c>
      <c r="J19">
        <v>340</v>
      </c>
      <c r="K19">
        <f t="shared" si="1"/>
        <v>105281</v>
      </c>
      <c r="L19">
        <f t="shared" si="2"/>
        <v>5088788</v>
      </c>
      <c r="M19">
        <f t="shared" si="3"/>
        <v>4465772</v>
      </c>
    </row>
    <row r="20" spans="1:13" ht="30.75">
      <c r="A20" t="s">
        <v>337</v>
      </c>
      <c r="B20" s="1" t="s">
        <v>355</v>
      </c>
      <c r="C20" t="s">
        <v>16</v>
      </c>
      <c r="D20" t="s">
        <v>15</v>
      </c>
      <c r="E20" t="s">
        <v>50</v>
      </c>
      <c r="F20">
        <v>10562</v>
      </c>
      <c r="G20">
        <f t="shared" si="4"/>
        <v>3270523</v>
      </c>
      <c r="H20">
        <v>2352</v>
      </c>
      <c r="I20">
        <f t="shared" si="0"/>
        <v>728297</v>
      </c>
      <c r="J20">
        <v>340</v>
      </c>
      <c r="K20">
        <f t="shared" si="1"/>
        <v>105281</v>
      </c>
      <c r="L20">
        <f t="shared" si="2"/>
        <v>3998820</v>
      </c>
      <c r="M20">
        <f t="shared" si="3"/>
        <v>3375804</v>
      </c>
    </row>
    <row r="21" spans="1:13">
      <c r="A21" t="s">
        <v>337</v>
      </c>
      <c r="B21" t="s">
        <v>356</v>
      </c>
      <c r="C21" t="s">
        <v>16</v>
      </c>
      <c r="D21" t="s">
        <v>15</v>
      </c>
      <c r="E21" t="s">
        <v>65</v>
      </c>
      <c r="F21">
        <v>5619</v>
      </c>
      <c r="G21">
        <f t="shared" ref="G21" si="10">IFERROR(ROUND(F21*309.65,0),"")</f>
        <v>1739923</v>
      </c>
      <c r="H21">
        <v>2352</v>
      </c>
      <c r="I21">
        <f t="shared" ref="I21" si="11">IFERROR(ROUND(H21*309.65,0),"")</f>
        <v>728297</v>
      </c>
      <c r="J21">
        <v>340</v>
      </c>
      <c r="K21">
        <f t="shared" ref="K21" si="12">IFERROR(ROUND(J21*309.65,0),"")</f>
        <v>105281</v>
      </c>
      <c r="L21">
        <f t="shared" ref="L21" si="13">IF(OR(G21="",I21=""),"",G21+I21)</f>
        <v>2468220</v>
      </c>
      <c r="M21">
        <f t="shared" ref="M21" si="14">IF(OR(G21="",K21=""),"",G21+K21)</f>
        <v>1845204</v>
      </c>
    </row>
    <row r="22" spans="1:13">
      <c r="A22" t="s">
        <v>337</v>
      </c>
      <c r="B22" t="s">
        <v>357</v>
      </c>
      <c r="C22" t="s">
        <v>16</v>
      </c>
      <c r="D22" t="s">
        <v>15</v>
      </c>
      <c r="E22" t="s">
        <v>65</v>
      </c>
      <c r="F22">
        <v>5619</v>
      </c>
      <c r="G22">
        <f t="shared" si="4"/>
        <v>1739923</v>
      </c>
      <c r="H22">
        <v>2352</v>
      </c>
      <c r="I22">
        <f t="shared" si="0"/>
        <v>728297</v>
      </c>
      <c r="J22">
        <v>340</v>
      </c>
      <c r="K22">
        <f t="shared" si="1"/>
        <v>105281</v>
      </c>
      <c r="L22">
        <f t="shared" si="2"/>
        <v>2468220</v>
      </c>
      <c r="M22">
        <f t="shared" si="3"/>
        <v>1845204</v>
      </c>
    </row>
    <row r="23" spans="1:13">
      <c r="A23" t="s">
        <v>337</v>
      </c>
      <c r="B23" t="s">
        <v>358</v>
      </c>
      <c r="C23" t="s">
        <v>16</v>
      </c>
      <c r="D23" t="s">
        <v>15</v>
      </c>
      <c r="E23" t="s">
        <v>65</v>
      </c>
      <c r="F23">
        <v>4875</v>
      </c>
      <c r="G23">
        <f t="shared" si="4"/>
        <v>1509544</v>
      </c>
      <c r="H23">
        <v>2352</v>
      </c>
      <c r="I23">
        <f t="shared" si="0"/>
        <v>728297</v>
      </c>
      <c r="J23">
        <v>340</v>
      </c>
      <c r="K23">
        <f t="shared" si="1"/>
        <v>105281</v>
      </c>
      <c r="L23">
        <f t="shared" si="2"/>
        <v>2237841</v>
      </c>
      <c r="M23">
        <f t="shared" si="3"/>
        <v>1614825</v>
      </c>
    </row>
    <row r="24" spans="1:13">
      <c r="A24" t="s">
        <v>337</v>
      </c>
      <c r="B24" t="s">
        <v>359</v>
      </c>
      <c r="C24" t="s">
        <v>16</v>
      </c>
      <c r="D24" t="s">
        <v>15</v>
      </c>
      <c r="E24" t="s">
        <v>65</v>
      </c>
      <c r="F24">
        <v>4875</v>
      </c>
      <c r="G24">
        <f t="shared" si="4"/>
        <v>1509544</v>
      </c>
      <c r="H24">
        <v>2352</v>
      </c>
      <c r="I24">
        <f t="shared" si="0"/>
        <v>728297</v>
      </c>
      <c r="J24">
        <v>340</v>
      </c>
      <c r="K24">
        <f t="shared" si="1"/>
        <v>105281</v>
      </c>
      <c r="L24">
        <f t="shared" si="2"/>
        <v>2237841</v>
      </c>
      <c r="M24">
        <f t="shared" si="3"/>
        <v>1614825</v>
      </c>
    </row>
    <row r="25" spans="1:13">
      <c r="A25" t="s">
        <v>337</v>
      </c>
      <c r="B25" t="s">
        <v>360</v>
      </c>
      <c r="C25" t="s">
        <v>16</v>
      </c>
      <c r="D25" t="s">
        <v>15</v>
      </c>
      <c r="E25" t="s">
        <v>65</v>
      </c>
      <c r="F25">
        <v>7041</v>
      </c>
      <c r="G25">
        <f t="shared" si="4"/>
        <v>2180246</v>
      </c>
      <c r="H25">
        <v>2352</v>
      </c>
      <c r="I25">
        <f t="shared" si="0"/>
        <v>728297</v>
      </c>
      <c r="J25">
        <v>340</v>
      </c>
      <c r="K25">
        <f t="shared" si="1"/>
        <v>105281</v>
      </c>
      <c r="L25">
        <f t="shared" si="2"/>
        <v>2908543</v>
      </c>
      <c r="M25">
        <f t="shared" si="3"/>
        <v>2285527</v>
      </c>
    </row>
    <row r="26" spans="1:13">
      <c r="A26" t="s">
        <v>337</v>
      </c>
      <c r="B26" t="s">
        <v>361</v>
      </c>
      <c r="C26" t="s">
        <v>16</v>
      </c>
      <c r="D26" t="s">
        <v>15</v>
      </c>
      <c r="E26" t="s">
        <v>65</v>
      </c>
      <c r="F26">
        <v>4875</v>
      </c>
      <c r="G26">
        <f t="shared" si="4"/>
        <v>1509544</v>
      </c>
      <c r="H26">
        <v>2352</v>
      </c>
      <c r="I26">
        <f t="shared" si="0"/>
        <v>728297</v>
      </c>
      <c r="J26">
        <v>340</v>
      </c>
      <c r="K26">
        <f t="shared" si="1"/>
        <v>105281</v>
      </c>
      <c r="L26">
        <f t="shared" si="2"/>
        <v>2237841</v>
      </c>
      <c r="M26">
        <f t="shared" si="3"/>
        <v>1614825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2ED9D-97F7-446F-92DB-1DE947A9E31B}">
  <dimension ref="A1:S111"/>
  <sheetViews>
    <sheetView topLeftCell="F50" zoomScale="115" workbookViewId="0">
      <selection activeCell="H55" sqref="H55"/>
    </sheetView>
  </sheetViews>
  <sheetFormatPr defaultRowHeight="15"/>
  <cols>
    <col min="1" max="1" width="22" customWidth="1"/>
    <col min="2" max="2" width="40" customWidth="1"/>
    <col min="3" max="19" width="22" customWidth="1"/>
  </cols>
  <sheetData>
    <row r="1" spans="1:19" s="4" customFormat="1" ht="15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362</v>
      </c>
      <c r="I1" s="4" t="s">
        <v>71</v>
      </c>
      <c r="J1" s="6" t="s">
        <v>72</v>
      </c>
      <c r="K1" s="4" t="s">
        <v>363</v>
      </c>
      <c r="L1" s="4" t="s">
        <v>74</v>
      </c>
      <c r="M1" s="6" t="s">
        <v>75</v>
      </c>
      <c r="N1" s="4" t="s">
        <v>364</v>
      </c>
      <c r="O1" s="4" t="s">
        <v>77</v>
      </c>
      <c r="P1" s="6" t="s">
        <v>78</v>
      </c>
      <c r="Q1" s="4" t="s">
        <v>365</v>
      </c>
      <c r="R1" s="4" t="s">
        <v>366</v>
      </c>
      <c r="S1" s="6" t="s">
        <v>367</v>
      </c>
    </row>
    <row r="2" spans="1:19" ht="21" customHeight="1">
      <c r="A2" t="s">
        <v>368</v>
      </c>
      <c r="B2" t="s">
        <v>41</v>
      </c>
      <c r="C2" s="22" t="s">
        <v>16</v>
      </c>
      <c r="D2" t="s">
        <v>15</v>
      </c>
      <c r="E2" t="s">
        <v>17</v>
      </c>
      <c r="F2" s="2">
        <v>3915000</v>
      </c>
      <c r="G2">
        <f>IF(F2="","",F2*Parameters!$B$1)</f>
        <v>822150</v>
      </c>
      <c r="H2" s="2">
        <v>1890000</v>
      </c>
      <c r="I2">
        <f>IF(H2="","",H2*Parameters!$B$1)</f>
        <v>396900</v>
      </c>
      <c r="J2">
        <f>IF(OR(G2="",I2=""),"",G2+I2)</f>
        <v>1219050</v>
      </c>
      <c r="K2" s="2">
        <v>1252000</v>
      </c>
      <c r="L2">
        <f>IF(K2="","",K2*Parameters!$B$1)</f>
        <v>262920</v>
      </c>
      <c r="M2">
        <f t="shared" ref="M2:M51" si="0">IF(OR(G2="",L2=""),"",G2+L2)</f>
        <v>1085070</v>
      </c>
      <c r="N2" s="2">
        <v>1192600</v>
      </c>
      <c r="O2">
        <f>IF(N2="","",N2*Parameters!$B$1)</f>
        <v>250446</v>
      </c>
      <c r="P2">
        <f t="shared" ref="P2:P51" si="1">IF(OR(G2="",O2=""),"",G2+O2)</f>
        <v>1072596</v>
      </c>
      <c r="Q2" s="2">
        <v>869000</v>
      </c>
      <c r="R2">
        <f>IF(Q2="","",Q2*Parameters!$B$1)</f>
        <v>182490</v>
      </c>
      <c r="S2">
        <f>IF(OR(G2="",R2=""),"",G2+R2)</f>
        <v>1004640</v>
      </c>
    </row>
    <row r="3" spans="1:19" ht="30.75">
      <c r="A3" t="s">
        <v>368</v>
      </c>
      <c r="B3" s="1" t="s">
        <v>369</v>
      </c>
      <c r="C3" s="22" t="s">
        <v>16</v>
      </c>
      <c r="D3" t="s">
        <v>15</v>
      </c>
      <c r="E3" t="s">
        <v>17</v>
      </c>
      <c r="F3" s="2">
        <v>3915000</v>
      </c>
      <c r="G3">
        <f>IF(F3="","",F3*Parameters!$B$1)</f>
        <v>822150</v>
      </c>
      <c r="H3" s="2">
        <v>1890000</v>
      </c>
      <c r="I3">
        <f>IF(H3="","",H3*Parameters!$B$1)</f>
        <v>396900</v>
      </c>
      <c r="J3">
        <f t="shared" ref="J3:J63" si="2">IF(OR(G3="",I3=""),"",G3+I3)</f>
        <v>1219050</v>
      </c>
      <c r="K3" s="2">
        <v>1252000</v>
      </c>
      <c r="L3">
        <f>IF(K3="","",K3*Parameters!$B$1)</f>
        <v>262920</v>
      </c>
      <c r="M3">
        <f t="shared" si="0"/>
        <v>1085070</v>
      </c>
      <c r="N3" s="2">
        <v>1192600</v>
      </c>
      <c r="O3">
        <f>IF(N3="","",N3*Parameters!$B$1)</f>
        <v>250446</v>
      </c>
      <c r="P3">
        <f t="shared" si="1"/>
        <v>1072596</v>
      </c>
      <c r="Q3" s="2">
        <v>869000</v>
      </c>
      <c r="R3">
        <f>IF(Q3="","",Q3*Parameters!$B$1)</f>
        <v>182490</v>
      </c>
      <c r="S3">
        <f t="shared" ref="S3:S51" si="3">IF(OR(G3="",R3=""),"",G3+R3)</f>
        <v>1004640</v>
      </c>
    </row>
    <row r="4" spans="1:19">
      <c r="A4" t="s">
        <v>368</v>
      </c>
      <c r="B4" t="s">
        <v>370</v>
      </c>
      <c r="C4" t="s">
        <v>15</v>
      </c>
      <c r="D4" t="s">
        <v>16</v>
      </c>
      <c r="E4" t="s">
        <v>17</v>
      </c>
      <c r="F4" s="2">
        <v>3665000</v>
      </c>
      <c r="G4">
        <f>IF(F4="","",F4*Parameters!$B$1)</f>
        <v>769650</v>
      </c>
      <c r="H4" s="2">
        <v>1890000</v>
      </c>
      <c r="I4">
        <f>IF(H4="","",H4*Parameters!$B$1)</f>
        <v>396900</v>
      </c>
      <c r="J4">
        <f t="shared" si="2"/>
        <v>1166550</v>
      </c>
      <c r="K4" s="2">
        <v>1252000</v>
      </c>
      <c r="L4">
        <f>IF(K4="","",K4*Parameters!$B$1)</f>
        <v>262920</v>
      </c>
      <c r="M4">
        <f t="shared" si="0"/>
        <v>1032570</v>
      </c>
      <c r="N4" s="2">
        <v>1192600</v>
      </c>
      <c r="O4">
        <f>IF(N4="","",N4*Parameters!$B$1)</f>
        <v>250446</v>
      </c>
      <c r="P4">
        <f t="shared" si="1"/>
        <v>1020096</v>
      </c>
      <c r="Q4" s="2">
        <v>869000</v>
      </c>
      <c r="R4">
        <f>IF(Q4="","",Q4*Parameters!$B$1)</f>
        <v>182490</v>
      </c>
      <c r="S4">
        <f t="shared" si="3"/>
        <v>952140</v>
      </c>
    </row>
    <row r="5" spans="1:19">
      <c r="A5" t="s">
        <v>368</v>
      </c>
      <c r="B5" s="1" t="s">
        <v>159</v>
      </c>
      <c r="C5" t="s">
        <v>15</v>
      </c>
      <c r="D5" t="s">
        <v>16</v>
      </c>
      <c r="E5" t="s">
        <v>17</v>
      </c>
      <c r="F5" s="2">
        <v>3665000</v>
      </c>
      <c r="G5">
        <f>IF(F5="","",F5*Parameters!$B$1)</f>
        <v>769650</v>
      </c>
      <c r="H5" s="2">
        <v>1890000</v>
      </c>
      <c r="I5">
        <f>IF(H5="","",H5*Parameters!$B$1)</f>
        <v>396900</v>
      </c>
      <c r="J5">
        <f t="shared" si="2"/>
        <v>1166550</v>
      </c>
      <c r="K5" s="2">
        <v>1252000</v>
      </c>
      <c r="L5">
        <f>IF(K5="","",K5*Parameters!$B$1)</f>
        <v>262920</v>
      </c>
      <c r="M5">
        <f t="shared" si="0"/>
        <v>1032570</v>
      </c>
      <c r="N5" s="2">
        <v>1192600</v>
      </c>
      <c r="O5">
        <f>IF(N5="","",N5*Parameters!$B$1)</f>
        <v>250446</v>
      </c>
      <c r="P5">
        <f t="shared" si="1"/>
        <v>1020096</v>
      </c>
      <c r="Q5" s="2">
        <v>869000</v>
      </c>
      <c r="R5">
        <f>IF(Q5="","",Q5*Parameters!$B$1)</f>
        <v>182490</v>
      </c>
      <c r="S5">
        <f t="shared" si="3"/>
        <v>952140</v>
      </c>
    </row>
    <row r="6" spans="1:19">
      <c r="A6" t="s">
        <v>368</v>
      </c>
      <c r="B6" t="s">
        <v>371</v>
      </c>
      <c r="C6" t="s">
        <v>15</v>
      </c>
      <c r="D6" t="s">
        <v>16</v>
      </c>
      <c r="E6" t="s">
        <v>17</v>
      </c>
      <c r="F6" s="2">
        <v>3665000</v>
      </c>
      <c r="G6">
        <f>IF(F6="","",F6*Parameters!$B$1)</f>
        <v>769650</v>
      </c>
      <c r="H6" s="2">
        <v>1890000</v>
      </c>
      <c r="I6">
        <f>IF(H6="","",H6*Parameters!$B$1)</f>
        <v>396900</v>
      </c>
      <c r="J6">
        <f t="shared" si="2"/>
        <v>1166550</v>
      </c>
      <c r="K6" s="2">
        <v>1252000</v>
      </c>
      <c r="L6">
        <f>IF(K6="","",K6*Parameters!$B$1)</f>
        <v>262920</v>
      </c>
      <c r="M6">
        <f t="shared" si="0"/>
        <v>1032570</v>
      </c>
      <c r="N6" s="2">
        <v>1192600</v>
      </c>
      <c r="O6">
        <f>IF(N6="","",N6*Parameters!$B$1)</f>
        <v>250446</v>
      </c>
      <c r="P6">
        <f t="shared" si="1"/>
        <v>1020096</v>
      </c>
      <c r="Q6" s="2">
        <v>869000</v>
      </c>
      <c r="R6">
        <f>IF(Q6="","",Q6*Parameters!$B$1)</f>
        <v>182490</v>
      </c>
      <c r="S6">
        <f t="shared" si="3"/>
        <v>952140</v>
      </c>
    </row>
    <row r="7" spans="1:19">
      <c r="A7" t="s">
        <v>368</v>
      </c>
      <c r="B7" t="s">
        <v>372</v>
      </c>
      <c r="C7" t="s">
        <v>15</v>
      </c>
      <c r="D7" t="s">
        <v>16</v>
      </c>
      <c r="E7" t="s">
        <v>17</v>
      </c>
      <c r="F7" s="2">
        <v>3665000</v>
      </c>
      <c r="G7">
        <f>IF(F7="","",F7*Parameters!$B$1)</f>
        <v>769650</v>
      </c>
      <c r="H7" s="2">
        <v>1890000</v>
      </c>
      <c r="I7">
        <f>IF(H7="","",H7*Parameters!$B$1)</f>
        <v>396900</v>
      </c>
      <c r="J7">
        <f t="shared" si="2"/>
        <v>1166550</v>
      </c>
      <c r="K7" s="2">
        <v>1252000</v>
      </c>
      <c r="L7">
        <f>IF(K7="","",K7*Parameters!$B$1)</f>
        <v>262920</v>
      </c>
      <c r="M7">
        <f t="shared" si="0"/>
        <v>1032570</v>
      </c>
      <c r="N7" s="2">
        <v>1192600</v>
      </c>
      <c r="O7">
        <f>IF(N7="","",N7*Parameters!$B$1)</f>
        <v>250446</v>
      </c>
      <c r="P7">
        <f t="shared" si="1"/>
        <v>1020096</v>
      </c>
      <c r="Q7" s="2">
        <v>869000</v>
      </c>
      <c r="R7">
        <f>IF(Q7="","",Q7*Parameters!$B$1)</f>
        <v>182490</v>
      </c>
      <c r="S7">
        <f t="shared" si="3"/>
        <v>952140</v>
      </c>
    </row>
    <row r="8" spans="1:19">
      <c r="A8" t="s">
        <v>368</v>
      </c>
      <c r="B8" t="s">
        <v>373</v>
      </c>
      <c r="C8" t="s">
        <v>15</v>
      </c>
      <c r="D8" t="s">
        <v>16</v>
      </c>
      <c r="E8" t="s">
        <v>17</v>
      </c>
      <c r="F8" s="2">
        <v>3665000</v>
      </c>
      <c r="G8">
        <f>IF(F8="","",F8*Parameters!$B$1)</f>
        <v>769650</v>
      </c>
      <c r="H8" s="2">
        <v>1890000</v>
      </c>
      <c r="I8">
        <f>IF(H8="","",H8*Parameters!$B$1)</f>
        <v>396900</v>
      </c>
      <c r="J8">
        <f t="shared" si="2"/>
        <v>1166550</v>
      </c>
      <c r="K8" s="2">
        <v>1252000</v>
      </c>
      <c r="L8">
        <f>IF(K8="","",K8*Parameters!$B$1)</f>
        <v>262920</v>
      </c>
      <c r="M8">
        <f t="shared" si="0"/>
        <v>1032570</v>
      </c>
      <c r="N8" s="2">
        <v>1192600</v>
      </c>
      <c r="O8">
        <f>IF(N8="","",N8*Parameters!$B$1)</f>
        <v>250446</v>
      </c>
      <c r="P8">
        <f t="shared" si="1"/>
        <v>1020096</v>
      </c>
      <c r="Q8" s="2">
        <v>869000</v>
      </c>
      <c r="R8">
        <f>IF(Q8="","",Q8*Parameters!$B$1)</f>
        <v>182490</v>
      </c>
      <c r="S8">
        <f t="shared" si="3"/>
        <v>952140</v>
      </c>
    </row>
    <row r="9" spans="1:19">
      <c r="A9" t="s">
        <v>368</v>
      </c>
      <c r="B9" s="1" t="s">
        <v>374</v>
      </c>
      <c r="C9" t="s">
        <v>15</v>
      </c>
      <c r="D9" t="s">
        <v>16</v>
      </c>
      <c r="E9" t="s">
        <v>17</v>
      </c>
      <c r="F9" s="2">
        <v>3665000</v>
      </c>
      <c r="G9">
        <f>IF(F9="","",F9*Parameters!$B$1)</f>
        <v>769650</v>
      </c>
      <c r="H9" s="2">
        <v>1890000</v>
      </c>
      <c r="I9">
        <f>IF(H9="","",H9*Parameters!$B$1)</f>
        <v>396900</v>
      </c>
      <c r="J9">
        <f t="shared" si="2"/>
        <v>1166550</v>
      </c>
      <c r="K9" s="2">
        <v>1252000</v>
      </c>
      <c r="L9">
        <f>IF(K9="","",K9*Parameters!$B$1)</f>
        <v>262920</v>
      </c>
      <c r="M9">
        <f t="shared" si="0"/>
        <v>1032570</v>
      </c>
      <c r="N9" s="2">
        <v>1192600</v>
      </c>
      <c r="O9">
        <f>IF(N9="","",N9*Parameters!$B$1)</f>
        <v>250446</v>
      </c>
      <c r="P9">
        <f t="shared" si="1"/>
        <v>1020096</v>
      </c>
      <c r="Q9" s="2">
        <v>869000</v>
      </c>
      <c r="R9">
        <f>IF(Q9="","",Q9*Parameters!$B$1)</f>
        <v>182490</v>
      </c>
      <c r="S9">
        <f t="shared" si="3"/>
        <v>952140</v>
      </c>
    </row>
    <row r="10" spans="1:19">
      <c r="A10" t="s">
        <v>368</v>
      </c>
      <c r="B10" t="s">
        <v>156</v>
      </c>
      <c r="C10" t="s">
        <v>15</v>
      </c>
      <c r="D10" t="s">
        <v>16</v>
      </c>
      <c r="E10" t="s">
        <v>17</v>
      </c>
      <c r="F10" s="2">
        <v>3665000</v>
      </c>
      <c r="G10">
        <f>IF(F10="","",F10*Parameters!$B$1)</f>
        <v>769650</v>
      </c>
      <c r="H10" s="2">
        <v>1890000</v>
      </c>
      <c r="I10">
        <f>IF(H10="","",H10*Parameters!$B$1)</f>
        <v>396900</v>
      </c>
      <c r="J10">
        <f t="shared" si="2"/>
        <v>1166550</v>
      </c>
      <c r="K10" s="2">
        <v>1252000</v>
      </c>
      <c r="L10">
        <f>IF(K10="","",K10*Parameters!$B$1)</f>
        <v>262920</v>
      </c>
      <c r="M10">
        <f t="shared" si="0"/>
        <v>1032570</v>
      </c>
      <c r="N10" s="2">
        <v>1192600</v>
      </c>
      <c r="O10">
        <f>IF(N10="","",N10*Parameters!$B$1)</f>
        <v>250446</v>
      </c>
      <c r="P10">
        <f t="shared" si="1"/>
        <v>1020096</v>
      </c>
      <c r="Q10" s="2">
        <v>869000</v>
      </c>
      <c r="R10">
        <f>IF(Q10="","",Q10*Parameters!$B$1)</f>
        <v>182490</v>
      </c>
      <c r="S10">
        <f t="shared" si="3"/>
        <v>952140</v>
      </c>
    </row>
    <row r="11" spans="1:19">
      <c r="A11" t="s">
        <v>368</v>
      </c>
      <c r="B11" t="s">
        <v>188</v>
      </c>
      <c r="C11" t="s">
        <v>15</v>
      </c>
      <c r="D11" t="s">
        <v>16</v>
      </c>
      <c r="E11" t="s">
        <v>17</v>
      </c>
      <c r="F11" s="2">
        <v>3665000</v>
      </c>
      <c r="G11">
        <f>IF(F11="","",F11*Parameters!$B$1)</f>
        <v>769650</v>
      </c>
      <c r="H11" s="2">
        <v>1890000</v>
      </c>
      <c r="I11">
        <f>IF(H11="","",H11*Parameters!$B$1)</f>
        <v>396900</v>
      </c>
      <c r="J11">
        <f t="shared" si="2"/>
        <v>1166550</v>
      </c>
      <c r="K11" s="2">
        <v>1252000</v>
      </c>
      <c r="L11">
        <f>IF(K11="","",K11*Parameters!$B$1)</f>
        <v>262920</v>
      </c>
      <c r="M11">
        <f t="shared" si="0"/>
        <v>1032570</v>
      </c>
      <c r="N11" s="2">
        <v>1192600</v>
      </c>
      <c r="O11">
        <f>IF(N11="","",N11*Parameters!$B$1)</f>
        <v>250446</v>
      </c>
      <c r="P11">
        <f t="shared" si="1"/>
        <v>1020096</v>
      </c>
      <c r="Q11" s="2">
        <v>869000</v>
      </c>
      <c r="R11">
        <f>IF(Q11="","",Q11*Parameters!$B$1)</f>
        <v>182490</v>
      </c>
      <c r="S11">
        <f t="shared" si="3"/>
        <v>952140</v>
      </c>
    </row>
    <row r="12" spans="1:19">
      <c r="A12" t="s">
        <v>368</v>
      </c>
      <c r="B12" t="s">
        <v>33</v>
      </c>
      <c r="C12" t="s">
        <v>15</v>
      </c>
      <c r="D12" t="s">
        <v>16</v>
      </c>
      <c r="E12" t="s">
        <v>17</v>
      </c>
      <c r="F12" s="2">
        <v>3665000</v>
      </c>
      <c r="G12">
        <f>IF(F12="","",F12*Parameters!$B$1)</f>
        <v>769650</v>
      </c>
      <c r="H12" s="2">
        <v>1890000</v>
      </c>
      <c r="I12">
        <f>IF(H12="","",H12*Parameters!$B$1)</f>
        <v>396900</v>
      </c>
      <c r="J12">
        <f t="shared" si="2"/>
        <v>1166550</v>
      </c>
      <c r="K12" s="2">
        <v>1252000</v>
      </c>
      <c r="L12">
        <f>IF(K12="","",K12*Parameters!$B$1)</f>
        <v>262920</v>
      </c>
      <c r="M12">
        <f t="shared" si="0"/>
        <v>1032570</v>
      </c>
      <c r="N12" s="2">
        <v>1192600</v>
      </c>
      <c r="O12">
        <f>IF(N12="","",N12*Parameters!$B$1)</f>
        <v>250446</v>
      </c>
      <c r="P12">
        <f t="shared" si="1"/>
        <v>1020096</v>
      </c>
      <c r="Q12" s="2">
        <v>869000</v>
      </c>
      <c r="R12">
        <f>IF(Q12="","",Q12*Parameters!$B$1)</f>
        <v>182490</v>
      </c>
      <c r="S12">
        <f t="shared" si="3"/>
        <v>952140</v>
      </c>
    </row>
    <row r="13" spans="1:19">
      <c r="A13" t="s">
        <v>368</v>
      </c>
      <c r="B13" t="s">
        <v>375</v>
      </c>
      <c r="C13" t="s">
        <v>15</v>
      </c>
      <c r="D13" t="s">
        <v>16</v>
      </c>
      <c r="E13" t="s">
        <v>17</v>
      </c>
      <c r="F13" s="2">
        <v>3665000</v>
      </c>
      <c r="G13">
        <f>IF(F13="","",F13*Parameters!$B$1)</f>
        <v>769650</v>
      </c>
      <c r="H13" s="2">
        <v>1890000</v>
      </c>
      <c r="I13">
        <f>IF(H13="","",H13*Parameters!$B$1)</f>
        <v>396900</v>
      </c>
      <c r="J13">
        <f t="shared" si="2"/>
        <v>1166550</v>
      </c>
      <c r="K13" s="2">
        <v>1252000</v>
      </c>
      <c r="L13">
        <f>IF(K13="","",K13*Parameters!$B$1)</f>
        <v>262920</v>
      </c>
      <c r="M13">
        <f t="shared" si="0"/>
        <v>1032570</v>
      </c>
      <c r="N13" s="2">
        <v>1192600</v>
      </c>
      <c r="O13">
        <f>IF(N13="","",N13*Parameters!$B$1)</f>
        <v>250446</v>
      </c>
      <c r="P13">
        <f t="shared" si="1"/>
        <v>1020096</v>
      </c>
      <c r="Q13" s="2">
        <v>869000</v>
      </c>
      <c r="R13">
        <f>IF(Q13="","",Q13*Parameters!$B$1)</f>
        <v>182490</v>
      </c>
      <c r="S13">
        <f t="shared" si="3"/>
        <v>952140</v>
      </c>
    </row>
    <row r="14" spans="1:19">
      <c r="A14" t="s">
        <v>368</v>
      </c>
      <c r="B14" t="s">
        <v>376</v>
      </c>
      <c r="C14" t="s">
        <v>15</v>
      </c>
      <c r="D14" t="s">
        <v>16</v>
      </c>
      <c r="E14" t="s">
        <v>17</v>
      </c>
      <c r="F14" s="2">
        <v>3665000</v>
      </c>
      <c r="G14">
        <f>IF(F14="","",F14*Parameters!$B$1)</f>
        <v>769650</v>
      </c>
      <c r="H14" s="2">
        <v>1890000</v>
      </c>
      <c r="I14">
        <f>IF(H14="","",H14*Parameters!$B$1)</f>
        <v>396900</v>
      </c>
      <c r="J14">
        <f t="shared" si="2"/>
        <v>1166550</v>
      </c>
      <c r="K14" s="2">
        <v>1252000</v>
      </c>
      <c r="L14">
        <f>IF(K14="","",K14*Parameters!$B$1)</f>
        <v>262920</v>
      </c>
      <c r="M14">
        <f t="shared" si="0"/>
        <v>1032570</v>
      </c>
      <c r="N14" s="2">
        <v>1192600</v>
      </c>
      <c r="O14">
        <f>IF(N14="","",N14*Parameters!$B$1)</f>
        <v>250446</v>
      </c>
      <c r="P14">
        <f t="shared" si="1"/>
        <v>1020096</v>
      </c>
      <c r="Q14" s="2">
        <v>869000</v>
      </c>
      <c r="R14">
        <f>IF(Q14="","",Q14*Parameters!$B$1)</f>
        <v>182490</v>
      </c>
      <c r="S14">
        <f t="shared" si="3"/>
        <v>952140</v>
      </c>
    </row>
    <row r="15" spans="1:19">
      <c r="A15" t="s">
        <v>368</v>
      </c>
      <c r="B15" t="s">
        <v>41</v>
      </c>
      <c r="C15" t="s">
        <v>15</v>
      </c>
      <c r="D15" t="s">
        <v>16</v>
      </c>
      <c r="E15" t="s">
        <v>17</v>
      </c>
      <c r="F15" s="2">
        <v>3665000</v>
      </c>
      <c r="G15">
        <f>IF(F15="","",F15*Parameters!$B$1)</f>
        <v>769650</v>
      </c>
      <c r="H15" s="2">
        <v>1890000</v>
      </c>
      <c r="I15">
        <f>IF(H15="","",H15*Parameters!$B$1)</f>
        <v>396900</v>
      </c>
      <c r="J15">
        <f t="shared" si="2"/>
        <v>1166550</v>
      </c>
      <c r="K15" s="2">
        <v>1252000</v>
      </c>
      <c r="L15">
        <f>IF(K15="","",K15*Parameters!$B$1)</f>
        <v>262920</v>
      </c>
      <c r="M15">
        <f t="shared" si="0"/>
        <v>1032570</v>
      </c>
      <c r="N15" s="2">
        <v>1192600</v>
      </c>
      <c r="O15">
        <f>IF(N15="","",N15*Parameters!$B$1)</f>
        <v>250446</v>
      </c>
      <c r="P15">
        <f t="shared" si="1"/>
        <v>1020096</v>
      </c>
      <c r="Q15" s="2">
        <v>869000</v>
      </c>
      <c r="R15">
        <f>IF(Q15="","",Q15*Parameters!$B$1)</f>
        <v>182490</v>
      </c>
      <c r="S15">
        <f t="shared" si="3"/>
        <v>952140</v>
      </c>
    </row>
    <row r="16" spans="1:19">
      <c r="A16" t="s">
        <v>368</v>
      </c>
      <c r="B16" t="s">
        <v>377</v>
      </c>
      <c r="C16" t="s">
        <v>15</v>
      </c>
      <c r="D16" t="s">
        <v>16</v>
      </c>
      <c r="E16" t="s">
        <v>17</v>
      </c>
      <c r="F16" s="2">
        <v>3665000</v>
      </c>
      <c r="G16">
        <f>IF(F16="","",F16*Parameters!$B$1)</f>
        <v>769650</v>
      </c>
      <c r="H16" s="2">
        <v>1890000</v>
      </c>
      <c r="I16">
        <f>IF(H16="","",H16*Parameters!$B$1)</f>
        <v>396900</v>
      </c>
      <c r="J16">
        <f t="shared" si="2"/>
        <v>1166550</v>
      </c>
      <c r="K16" s="2">
        <v>1252000</v>
      </c>
      <c r="L16">
        <f>IF(K16="","",K16*Parameters!$B$1)</f>
        <v>262920</v>
      </c>
      <c r="M16">
        <f t="shared" si="0"/>
        <v>1032570</v>
      </c>
      <c r="N16" s="2">
        <v>1192600</v>
      </c>
      <c r="O16">
        <f>IF(N16="","",N16*Parameters!$B$1)</f>
        <v>250446</v>
      </c>
      <c r="P16">
        <f t="shared" si="1"/>
        <v>1020096</v>
      </c>
      <c r="Q16" s="2">
        <v>869000</v>
      </c>
      <c r="R16">
        <f>IF(Q16="","",Q16*Parameters!$B$1)</f>
        <v>182490</v>
      </c>
      <c r="S16">
        <f t="shared" si="3"/>
        <v>952140</v>
      </c>
    </row>
    <row r="17" spans="1:19">
      <c r="A17" t="s">
        <v>368</v>
      </c>
      <c r="B17" t="s">
        <v>378</v>
      </c>
      <c r="C17" t="s">
        <v>15</v>
      </c>
      <c r="D17" t="s">
        <v>16</v>
      </c>
      <c r="E17" t="s">
        <v>17</v>
      </c>
      <c r="F17" s="2">
        <v>3665000</v>
      </c>
      <c r="G17">
        <f>IF(F17="","",F17*Parameters!$B$1)</f>
        <v>769650</v>
      </c>
      <c r="H17" s="2">
        <v>1890000</v>
      </c>
      <c r="I17">
        <f>IF(H17="","",H17*Parameters!$B$1)</f>
        <v>396900</v>
      </c>
      <c r="J17">
        <f t="shared" si="2"/>
        <v>1166550</v>
      </c>
      <c r="K17" s="2">
        <v>1252000</v>
      </c>
      <c r="L17">
        <f>IF(K17="","",K17*Parameters!$B$1)</f>
        <v>262920</v>
      </c>
      <c r="M17">
        <f t="shared" si="0"/>
        <v>1032570</v>
      </c>
      <c r="N17" s="2">
        <v>1192600</v>
      </c>
      <c r="O17">
        <f>IF(N17="","",N17*Parameters!$B$1)</f>
        <v>250446</v>
      </c>
      <c r="P17">
        <f t="shared" si="1"/>
        <v>1020096</v>
      </c>
      <c r="Q17" s="2">
        <v>869000</v>
      </c>
      <c r="R17">
        <f>IF(Q17="","",Q17*Parameters!$B$1)</f>
        <v>182490</v>
      </c>
      <c r="S17">
        <f>IF(OR(G17="",R17=""),"",G17+R17)</f>
        <v>952140</v>
      </c>
    </row>
    <row r="18" spans="1:19">
      <c r="A18" t="s">
        <v>368</v>
      </c>
      <c r="B18" t="s">
        <v>379</v>
      </c>
      <c r="C18" t="s">
        <v>15</v>
      </c>
      <c r="D18" t="s">
        <v>16</v>
      </c>
      <c r="E18" t="s">
        <v>17</v>
      </c>
      <c r="F18" s="2">
        <v>3665000</v>
      </c>
      <c r="G18">
        <f>IF(F18="","",F18*Parameters!$B$1)</f>
        <v>769650</v>
      </c>
      <c r="H18" s="2">
        <v>1890000</v>
      </c>
      <c r="I18">
        <f>IF(H18="","",H18*Parameters!$B$1)</f>
        <v>396900</v>
      </c>
      <c r="J18">
        <f t="shared" si="2"/>
        <v>1166550</v>
      </c>
      <c r="K18" s="2">
        <v>1252000</v>
      </c>
      <c r="L18">
        <f>IF(K18="","",K18*Parameters!$B$1)</f>
        <v>262920</v>
      </c>
      <c r="M18">
        <f t="shared" si="0"/>
        <v>1032570</v>
      </c>
      <c r="N18" s="2">
        <v>1192600</v>
      </c>
      <c r="O18">
        <f>IF(N18="","",N18*Parameters!$B$1)</f>
        <v>250446</v>
      </c>
      <c r="P18">
        <f t="shared" si="1"/>
        <v>1020096</v>
      </c>
      <c r="Q18" s="2">
        <v>869000</v>
      </c>
      <c r="R18">
        <f>IF(Q18="","",Q18*Parameters!$B$1)</f>
        <v>182490</v>
      </c>
      <c r="S18">
        <f t="shared" si="3"/>
        <v>952140</v>
      </c>
    </row>
    <row r="19" spans="1:19">
      <c r="A19" t="s">
        <v>368</v>
      </c>
      <c r="B19" t="s">
        <v>380</v>
      </c>
      <c r="C19" t="s">
        <v>15</v>
      </c>
      <c r="D19" t="s">
        <v>16</v>
      </c>
      <c r="E19" t="s">
        <v>17</v>
      </c>
      <c r="F19" s="2">
        <v>3665000</v>
      </c>
      <c r="G19">
        <f>IF(F19="","",F19*Parameters!$B$1)</f>
        <v>769650</v>
      </c>
      <c r="H19" s="2">
        <v>1890000</v>
      </c>
      <c r="I19">
        <f>IF(H19="","",H19*Parameters!$B$1)</f>
        <v>396900</v>
      </c>
      <c r="J19">
        <f t="shared" si="2"/>
        <v>1166550</v>
      </c>
      <c r="K19" s="2">
        <v>1252000</v>
      </c>
      <c r="L19">
        <f>IF(K19="","",K19*Parameters!$B$1)</f>
        <v>262920</v>
      </c>
      <c r="M19">
        <f t="shared" si="0"/>
        <v>1032570</v>
      </c>
      <c r="N19" s="2">
        <v>1192600</v>
      </c>
      <c r="O19">
        <f>IF(N19="","",N19*Parameters!$B$1)</f>
        <v>250446</v>
      </c>
      <c r="P19">
        <f t="shared" si="1"/>
        <v>1020096</v>
      </c>
      <c r="Q19" s="2">
        <v>869000</v>
      </c>
      <c r="R19">
        <f>IF(Q19="","",Q19*Parameters!$B$1)</f>
        <v>182490</v>
      </c>
      <c r="S19">
        <f t="shared" si="3"/>
        <v>952140</v>
      </c>
    </row>
    <row r="20" spans="1:19">
      <c r="A20" t="s">
        <v>368</v>
      </c>
      <c r="B20" t="s">
        <v>381</v>
      </c>
      <c r="C20" t="s">
        <v>15</v>
      </c>
      <c r="D20" t="s">
        <v>16</v>
      </c>
      <c r="E20" t="s">
        <v>17</v>
      </c>
      <c r="F20" s="2">
        <v>4302000</v>
      </c>
      <c r="G20">
        <f>IF(F20="","",F20*Parameters!$B$1)</f>
        <v>903420</v>
      </c>
      <c r="H20" s="2">
        <v>1890000</v>
      </c>
      <c r="I20">
        <f>IF(H20="","",H20*Parameters!$B$1)</f>
        <v>396900</v>
      </c>
      <c r="J20">
        <f t="shared" si="2"/>
        <v>1300320</v>
      </c>
      <c r="K20" s="2">
        <v>1252000</v>
      </c>
      <c r="L20">
        <f>IF(K20="","",K20*Parameters!$B$1)</f>
        <v>262920</v>
      </c>
      <c r="M20">
        <f t="shared" si="0"/>
        <v>1166340</v>
      </c>
      <c r="N20" s="2">
        <v>1192600</v>
      </c>
      <c r="O20">
        <f>IF(N20="","",N20*Parameters!$B$1)</f>
        <v>250446</v>
      </c>
      <c r="P20">
        <f t="shared" si="1"/>
        <v>1153866</v>
      </c>
      <c r="Q20" s="2">
        <v>869000</v>
      </c>
      <c r="R20">
        <f>IF(Q20="","",Q20*Parameters!$B$1)</f>
        <v>182490</v>
      </c>
      <c r="S20">
        <f t="shared" si="3"/>
        <v>1085910</v>
      </c>
    </row>
    <row r="21" spans="1:19">
      <c r="A21" t="s">
        <v>368</v>
      </c>
      <c r="B21" t="s">
        <v>382</v>
      </c>
      <c r="C21" t="s">
        <v>15</v>
      </c>
      <c r="D21" t="s">
        <v>16</v>
      </c>
      <c r="E21" t="s">
        <v>17</v>
      </c>
      <c r="F21" s="2">
        <v>4302000</v>
      </c>
      <c r="G21">
        <f>IF(F21="","",F21*Parameters!$B$1)</f>
        <v>903420</v>
      </c>
      <c r="H21" s="2">
        <v>1890000</v>
      </c>
      <c r="I21">
        <f>IF(H21="","",H21*Parameters!$B$1)</f>
        <v>396900</v>
      </c>
      <c r="J21">
        <f t="shared" si="2"/>
        <v>1300320</v>
      </c>
      <c r="K21" s="2">
        <v>1252000</v>
      </c>
      <c r="L21">
        <f>IF(K21="","",K21*Parameters!$B$1)</f>
        <v>262920</v>
      </c>
      <c r="M21">
        <f t="shared" si="0"/>
        <v>1166340</v>
      </c>
      <c r="N21" s="2">
        <v>1192600</v>
      </c>
      <c r="O21">
        <f>IF(N21="","",N21*Parameters!$B$1)</f>
        <v>250446</v>
      </c>
      <c r="P21">
        <f t="shared" si="1"/>
        <v>1153866</v>
      </c>
      <c r="Q21" s="2">
        <v>869000</v>
      </c>
      <c r="R21">
        <f>IF(Q21="","",Q21*Parameters!$B$1)</f>
        <v>182490</v>
      </c>
      <c r="S21">
        <f t="shared" si="3"/>
        <v>1085910</v>
      </c>
    </row>
    <row r="22" spans="1:19">
      <c r="A22" t="s">
        <v>368</v>
      </c>
      <c r="B22" t="s">
        <v>383</v>
      </c>
      <c r="C22" t="s">
        <v>15</v>
      </c>
      <c r="D22" t="s">
        <v>16</v>
      </c>
      <c r="E22" t="s">
        <v>17</v>
      </c>
      <c r="F22" s="2">
        <v>4302000</v>
      </c>
      <c r="G22">
        <f>IF(F22="","",F22*Parameters!$B$1)</f>
        <v>903420</v>
      </c>
      <c r="H22" s="2">
        <v>1890000</v>
      </c>
      <c r="I22">
        <f>IF(H22="","",H22*Parameters!$B$1)</f>
        <v>396900</v>
      </c>
      <c r="J22">
        <f t="shared" si="2"/>
        <v>1300320</v>
      </c>
      <c r="K22" s="2">
        <v>1252000</v>
      </c>
      <c r="L22">
        <f>IF(K22="","",K22*Parameters!$B$1)</f>
        <v>262920</v>
      </c>
      <c r="M22">
        <f t="shared" si="0"/>
        <v>1166340</v>
      </c>
      <c r="N22" s="2">
        <v>1192600</v>
      </c>
      <c r="O22">
        <f>IF(N22="","",N22*Parameters!$B$1)</f>
        <v>250446</v>
      </c>
      <c r="P22">
        <f t="shared" si="1"/>
        <v>1153866</v>
      </c>
      <c r="Q22" s="2">
        <v>869000</v>
      </c>
      <c r="R22">
        <f>IF(Q22="","",Q22*Parameters!$B$1)</f>
        <v>182490</v>
      </c>
      <c r="S22">
        <f t="shared" si="3"/>
        <v>1085910</v>
      </c>
    </row>
    <row r="23" spans="1:19">
      <c r="A23" t="s">
        <v>368</v>
      </c>
      <c r="B23" t="s">
        <v>56</v>
      </c>
      <c r="C23" t="s">
        <v>15</v>
      </c>
      <c r="D23" t="s">
        <v>16</v>
      </c>
      <c r="E23" t="s">
        <v>17</v>
      </c>
      <c r="F23" s="2">
        <v>4302000</v>
      </c>
      <c r="G23">
        <f>IF(F23="","",F23*Parameters!$B$1)</f>
        <v>903420</v>
      </c>
      <c r="H23" s="2">
        <v>1890000</v>
      </c>
      <c r="I23">
        <f>IF(H23="","",H23*Parameters!$B$1)</f>
        <v>396900</v>
      </c>
      <c r="J23">
        <f t="shared" si="2"/>
        <v>1300320</v>
      </c>
      <c r="K23" s="2">
        <v>1252000</v>
      </c>
      <c r="L23">
        <f>IF(K23="","",K23*Parameters!$B$1)</f>
        <v>262920</v>
      </c>
      <c r="M23">
        <f t="shared" si="0"/>
        <v>1166340</v>
      </c>
      <c r="N23" s="2">
        <v>1192600</v>
      </c>
      <c r="O23">
        <f>IF(N23="","",N23*Parameters!$B$1)</f>
        <v>250446</v>
      </c>
      <c r="P23">
        <f t="shared" si="1"/>
        <v>1153866</v>
      </c>
      <c r="Q23" s="2">
        <v>869000</v>
      </c>
      <c r="R23">
        <f>IF(Q23="","",Q23*Parameters!$B$1)</f>
        <v>182490</v>
      </c>
      <c r="S23">
        <f t="shared" si="3"/>
        <v>1085910</v>
      </c>
    </row>
    <row r="24" spans="1:19">
      <c r="A24" t="s">
        <v>368</v>
      </c>
      <c r="B24" t="s">
        <v>384</v>
      </c>
      <c r="C24" t="s">
        <v>15</v>
      </c>
      <c r="D24" t="s">
        <v>16</v>
      </c>
      <c r="E24" t="s">
        <v>17</v>
      </c>
      <c r="F24" s="2">
        <v>4302000</v>
      </c>
      <c r="G24">
        <f>IF(F24="","",F24*Parameters!$B$1)</f>
        <v>903420</v>
      </c>
      <c r="H24" s="2">
        <v>1890000</v>
      </c>
      <c r="I24">
        <f>IF(H24="","",H24*Parameters!$B$1)</f>
        <v>396900</v>
      </c>
      <c r="J24">
        <f t="shared" si="2"/>
        <v>1300320</v>
      </c>
      <c r="K24" s="2">
        <v>1252000</v>
      </c>
      <c r="L24">
        <f>IF(K24="","",K24*Parameters!$B$1)</f>
        <v>262920</v>
      </c>
      <c r="M24">
        <f t="shared" si="0"/>
        <v>1166340</v>
      </c>
      <c r="N24" s="2">
        <v>1192600</v>
      </c>
      <c r="O24">
        <f>IF(N24="","",N24*Parameters!$B$1)</f>
        <v>250446</v>
      </c>
      <c r="P24">
        <f t="shared" si="1"/>
        <v>1153866</v>
      </c>
      <c r="Q24" s="2">
        <v>869000</v>
      </c>
      <c r="R24">
        <f>IF(Q24="","",Q24*Parameters!$B$1)</f>
        <v>182490</v>
      </c>
      <c r="S24">
        <f t="shared" si="3"/>
        <v>1085910</v>
      </c>
    </row>
    <row r="25" spans="1:19">
      <c r="A25" t="s">
        <v>368</v>
      </c>
      <c r="B25" t="s">
        <v>385</v>
      </c>
      <c r="C25" t="s">
        <v>15</v>
      </c>
      <c r="D25" t="s">
        <v>16</v>
      </c>
      <c r="E25" t="s">
        <v>17</v>
      </c>
      <c r="F25" s="2">
        <v>4302000</v>
      </c>
      <c r="G25">
        <f>IF(F25="","",F25*Parameters!$B$1)</f>
        <v>903420</v>
      </c>
      <c r="H25" s="2">
        <v>1890000</v>
      </c>
      <c r="I25">
        <f>IF(H25="","",H25*Parameters!$B$1)</f>
        <v>396900</v>
      </c>
      <c r="J25">
        <f t="shared" si="2"/>
        <v>1300320</v>
      </c>
      <c r="K25" s="2">
        <v>1252000</v>
      </c>
      <c r="L25">
        <f>IF(K25="","",K25*Parameters!$B$1)</f>
        <v>262920</v>
      </c>
      <c r="M25">
        <f t="shared" si="0"/>
        <v>1166340</v>
      </c>
      <c r="N25" s="2">
        <v>1192600</v>
      </c>
      <c r="O25">
        <f>IF(N25="","",N25*Parameters!$B$1)</f>
        <v>250446</v>
      </c>
      <c r="P25">
        <f t="shared" si="1"/>
        <v>1153866</v>
      </c>
      <c r="Q25" s="2">
        <v>869000</v>
      </c>
      <c r="R25">
        <f>IF(Q25="","",Q25*Parameters!$B$1)</f>
        <v>182490</v>
      </c>
      <c r="S25">
        <f t="shared" si="3"/>
        <v>1085910</v>
      </c>
    </row>
    <row r="26" spans="1:19">
      <c r="A26" t="s">
        <v>368</v>
      </c>
      <c r="B26" t="s">
        <v>386</v>
      </c>
      <c r="C26" t="s">
        <v>15</v>
      </c>
      <c r="D26" t="s">
        <v>16</v>
      </c>
      <c r="E26" t="s">
        <v>17</v>
      </c>
      <c r="F26" s="2">
        <v>4302000</v>
      </c>
      <c r="G26">
        <f>IF(F26="","",F26*Parameters!$B$1)</f>
        <v>903420</v>
      </c>
      <c r="H26" s="2">
        <v>1890000</v>
      </c>
      <c r="I26">
        <f>IF(H26="","",H26*Parameters!$B$1)</f>
        <v>396900</v>
      </c>
      <c r="J26">
        <f t="shared" si="2"/>
        <v>1300320</v>
      </c>
      <c r="K26" s="2">
        <v>1252000</v>
      </c>
      <c r="L26">
        <f>IF(K26="","",K26*Parameters!$B$1)</f>
        <v>262920</v>
      </c>
      <c r="M26">
        <f t="shared" si="0"/>
        <v>1166340</v>
      </c>
      <c r="N26" s="2">
        <v>1192600</v>
      </c>
      <c r="O26">
        <f>IF(N26="","",N26*Parameters!$B$1)</f>
        <v>250446</v>
      </c>
      <c r="P26">
        <f t="shared" si="1"/>
        <v>1153866</v>
      </c>
      <c r="Q26" s="2">
        <v>869000</v>
      </c>
      <c r="R26">
        <f>IF(Q26="","",Q26*Parameters!$B$1)</f>
        <v>182490</v>
      </c>
      <c r="S26">
        <f t="shared" si="3"/>
        <v>1085910</v>
      </c>
    </row>
    <row r="27" spans="1:19">
      <c r="A27" t="s">
        <v>368</v>
      </c>
      <c r="B27" t="s">
        <v>387</v>
      </c>
      <c r="C27" t="s">
        <v>15</v>
      </c>
      <c r="D27" t="s">
        <v>16</v>
      </c>
      <c r="E27" t="s">
        <v>17</v>
      </c>
      <c r="F27" s="2">
        <v>4302000</v>
      </c>
      <c r="G27">
        <f>IF(F27="","",F27*Parameters!$B$1)</f>
        <v>903420</v>
      </c>
      <c r="H27" s="2">
        <v>1890000</v>
      </c>
      <c r="I27">
        <f>IF(H27="","",H27*Parameters!$B$1)</f>
        <v>396900</v>
      </c>
      <c r="J27">
        <f t="shared" si="2"/>
        <v>1300320</v>
      </c>
      <c r="K27" s="2">
        <v>1252000</v>
      </c>
      <c r="L27">
        <f>IF(K27="","",K27*Parameters!$B$1)</f>
        <v>262920</v>
      </c>
      <c r="M27">
        <f t="shared" si="0"/>
        <v>1166340</v>
      </c>
      <c r="N27" s="2">
        <v>1192600</v>
      </c>
      <c r="O27">
        <f>IF(N27="","",N27*Parameters!$B$1)</f>
        <v>250446</v>
      </c>
      <c r="P27">
        <f t="shared" si="1"/>
        <v>1153866</v>
      </c>
      <c r="Q27" s="2">
        <v>869000</v>
      </c>
      <c r="R27">
        <f>IF(Q27="","",Q27*Parameters!$B$1)</f>
        <v>182490</v>
      </c>
      <c r="S27">
        <f t="shared" si="3"/>
        <v>1085910</v>
      </c>
    </row>
    <row r="28" spans="1:19">
      <c r="A28" t="s">
        <v>368</v>
      </c>
      <c r="B28" t="s">
        <v>388</v>
      </c>
      <c r="C28" t="s">
        <v>15</v>
      </c>
      <c r="D28" t="s">
        <v>16</v>
      </c>
      <c r="E28" t="s">
        <v>17</v>
      </c>
      <c r="F28" s="2">
        <v>4302000</v>
      </c>
      <c r="G28">
        <f>IF(F28="","",F28*Parameters!$B$1)</f>
        <v>903420</v>
      </c>
      <c r="H28" s="2">
        <v>1890000</v>
      </c>
      <c r="I28">
        <f>IF(H28="","",H28*Parameters!$B$1)</f>
        <v>396900</v>
      </c>
      <c r="J28">
        <f t="shared" si="2"/>
        <v>1300320</v>
      </c>
      <c r="K28" s="2">
        <v>1252000</v>
      </c>
      <c r="L28">
        <f>IF(K28="","",K28*Parameters!$B$1)</f>
        <v>262920</v>
      </c>
      <c r="M28">
        <f t="shared" si="0"/>
        <v>1166340</v>
      </c>
      <c r="N28" s="2">
        <v>1192600</v>
      </c>
      <c r="O28">
        <f>IF(N28="","",N28*Parameters!$B$1)</f>
        <v>250446</v>
      </c>
      <c r="P28">
        <f t="shared" si="1"/>
        <v>1153866</v>
      </c>
      <c r="Q28" s="2">
        <v>869000</v>
      </c>
      <c r="R28">
        <f>IF(Q28="","",Q28*Parameters!$B$1)</f>
        <v>182490</v>
      </c>
      <c r="S28">
        <f t="shared" si="3"/>
        <v>1085910</v>
      </c>
    </row>
    <row r="29" spans="1:19">
      <c r="A29" t="s">
        <v>368</v>
      </c>
      <c r="B29" t="s">
        <v>31</v>
      </c>
      <c r="C29" t="s">
        <v>15</v>
      </c>
      <c r="D29" t="s">
        <v>16</v>
      </c>
      <c r="E29" t="s">
        <v>17</v>
      </c>
      <c r="F29" s="2">
        <v>4302000</v>
      </c>
      <c r="G29">
        <f>IF(F29="","",F29*Parameters!$B$1)</f>
        <v>903420</v>
      </c>
      <c r="H29" s="2">
        <v>1890000</v>
      </c>
      <c r="I29">
        <f>IF(H29="","",H29*Parameters!$B$1)</f>
        <v>396900</v>
      </c>
      <c r="J29">
        <f t="shared" si="2"/>
        <v>1300320</v>
      </c>
      <c r="K29" s="2">
        <v>1252000</v>
      </c>
      <c r="L29">
        <f>IF(K29="","",K29*Parameters!$B$1)</f>
        <v>262920</v>
      </c>
      <c r="M29">
        <f t="shared" si="0"/>
        <v>1166340</v>
      </c>
      <c r="N29" s="2">
        <v>1192600</v>
      </c>
      <c r="O29">
        <f>IF(N29="","",N29*Parameters!$B$1)</f>
        <v>250446</v>
      </c>
      <c r="P29">
        <f t="shared" si="1"/>
        <v>1153866</v>
      </c>
      <c r="Q29" s="2">
        <v>869000</v>
      </c>
      <c r="R29">
        <f>IF(Q29="","",Q29*Parameters!$B$1)</f>
        <v>182490</v>
      </c>
      <c r="S29">
        <f t="shared" si="3"/>
        <v>1085910</v>
      </c>
    </row>
    <row r="30" spans="1:19">
      <c r="A30" t="s">
        <v>368</v>
      </c>
      <c r="B30" t="s">
        <v>389</v>
      </c>
      <c r="C30" t="s">
        <v>15</v>
      </c>
      <c r="D30" t="s">
        <v>16</v>
      </c>
      <c r="E30" t="s">
        <v>17</v>
      </c>
      <c r="F30" s="2">
        <v>4302000</v>
      </c>
      <c r="G30">
        <f>IF(F30="","",F30*Parameters!$B$1)</f>
        <v>903420</v>
      </c>
      <c r="H30" s="2">
        <v>1890000</v>
      </c>
      <c r="I30">
        <f>IF(H30="","",H30*Parameters!$B$1)</f>
        <v>396900</v>
      </c>
      <c r="J30">
        <f t="shared" si="2"/>
        <v>1300320</v>
      </c>
      <c r="K30" s="2">
        <v>1252000</v>
      </c>
      <c r="L30">
        <f>IF(K30="","",K30*Parameters!$B$1)</f>
        <v>262920</v>
      </c>
      <c r="M30">
        <f t="shared" si="0"/>
        <v>1166340</v>
      </c>
      <c r="N30" s="2">
        <v>1192600</v>
      </c>
      <c r="O30">
        <f>IF(N30="","",N30*Parameters!$B$1)</f>
        <v>250446</v>
      </c>
      <c r="P30">
        <f t="shared" si="1"/>
        <v>1153866</v>
      </c>
      <c r="Q30" s="2">
        <v>869000</v>
      </c>
      <c r="R30">
        <f>IF(Q30="","",Q30*Parameters!$B$1)</f>
        <v>182490</v>
      </c>
      <c r="S30">
        <f t="shared" si="3"/>
        <v>1085910</v>
      </c>
    </row>
    <row r="31" spans="1:19">
      <c r="A31" t="s">
        <v>368</v>
      </c>
      <c r="B31" t="s">
        <v>390</v>
      </c>
      <c r="C31" t="s">
        <v>15</v>
      </c>
      <c r="D31" t="s">
        <v>16</v>
      </c>
      <c r="E31" t="s">
        <v>17</v>
      </c>
      <c r="F31" s="2">
        <v>4302000</v>
      </c>
      <c r="G31">
        <f>IF(F31="","",F31*Parameters!$B$1)</f>
        <v>903420</v>
      </c>
      <c r="H31" s="2">
        <v>1890000</v>
      </c>
      <c r="I31">
        <f>IF(H31="","",H31*Parameters!$B$1)</f>
        <v>396900</v>
      </c>
      <c r="J31">
        <f t="shared" si="2"/>
        <v>1300320</v>
      </c>
      <c r="K31" s="2">
        <v>1252000</v>
      </c>
      <c r="L31">
        <f>IF(K31="","",K31*Parameters!$B$1)</f>
        <v>262920</v>
      </c>
      <c r="M31">
        <f t="shared" si="0"/>
        <v>1166340</v>
      </c>
      <c r="N31" s="2">
        <v>1192600</v>
      </c>
      <c r="O31">
        <f>IF(N31="","",N31*Parameters!$B$1)</f>
        <v>250446</v>
      </c>
      <c r="P31">
        <f t="shared" si="1"/>
        <v>1153866</v>
      </c>
      <c r="Q31" s="2">
        <v>869000</v>
      </c>
      <c r="R31">
        <f>IF(Q31="","",Q31*Parameters!$B$1)</f>
        <v>182490</v>
      </c>
      <c r="S31">
        <f t="shared" si="3"/>
        <v>1085910</v>
      </c>
    </row>
    <row r="32" spans="1:19">
      <c r="A32" t="s">
        <v>368</v>
      </c>
      <c r="B32" t="s">
        <v>391</v>
      </c>
      <c r="C32" t="s">
        <v>15</v>
      </c>
      <c r="D32" t="s">
        <v>16</v>
      </c>
      <c r="E32" t="s">
        <v>17</v>
      </c>
      <c r="F32" s="2">
        <v>4788000</v>
      </c>
      <c r="G32">
        <f>IF(F32="","",F32*Parameters!$B$1)</f>
        <v>1005480</v>
      </c>
      <c r="H32" s="2">
        <v>1890000</v>
      </c>
      <c r="I32">
        <f>IF(H32="","",H32*Parameters!$B$1)</f>
        <v>396900</v>
      </c>
      <c r="J32">
        <f t="shared" si="2"/>
        <v>1402380</v>
      </c>
      <c r="K32" s="2">
        <v>1252000</v>
      </c>
      <c r="L32">
        <f>IF(K32="","",K32*Parameters!$B$1)</f>
        <v>262920</v>
      </c>
      <c r="M32">
        <f t="shared" si="0"/>
        <v>1268400</v>
      </c>
      <c r="N32" s="2">
        <v>1192600</v>
      </c>
      <c r="O32">
        <f>IF(N32="","",N32*Parameters!$B$1)</f>
        <v>250446</v>
      </c>
      <c r="P32">
        <f t="shared" si="1"/>
        <v>1255926</v>
      </c>
      <c r="Q32" s="2">
        <v>869000</v>
      </c>
      <c r="R32">
        <f>IF(Q32="","",Q32*Parameters!$B$1)</f>
        <v>182490</v>
      </c>
      <c r="S32">
        <f t="shared" si="3"/>
        <v>1187970</v>
      </c>
    </row>
    <row r="33" spans="1:19">
      <c r="A33" t="s">
        <v>368</v>
      </c>
      <c r="B33" t="s">
        <v>285</v>
      </c>
      <c r="C33" t="s">
        <v>15</v>
      </c>
      <c r="D33" t="s">
        <v>16</v>
      </c>
      <c r="E33" t="s">
        <v>17</v>
      </c>
      <c r="F33" s="2">
        <v>4788000</v>
      </c>
      <c r="G33">
        <f>IF(F33="","",F33*Parameters!$B$1)</f>
        <v>1005480</v>
      </c>
      <c r="H33" s="2">
        <v>1890000</v>
      </c>
      <c r="I33">
        <f>IF(H33="","",H33*Parameters!$B$1)</f>
        <v>396900</v>
      </c>
      <c r="J33">
        <f t="shared" si="2"/>
        <v>1402380</v>
      </c>
      <c r="K33" s="2">
        <v>1252000</v>
      </c>
      <c r="L33">
        <f>IF(K33="","",K33*Parameters!$B$1)</f>
        <v>262920</v>
      </c>
      <c r="M33">
        <f t="shared" si="0"/>
        <v>1268400</v>
      </c>
      <c r="N33" s="2">
        <v>1192600</v>
      </c>
      <c r="O33">
        <f>IF(N33="","",N33*Parameters!$B$1)</f>
        <v>250446</v>
      </c>
      <c r="P33">
        <f t="shared" si="1"/>
        <v>1255926</v>
      </c>
      <c r="Q33" s="2">
        <v>869000</v>
      </c>
      <c r="R33">
        <f>IF(Q33="","",Q33*Parameters!$B$1)</f>
        <v>182490</v>
      </c>
      <c r="S33">
        <f t="shared" si="3"/>
        <v>1187970</v>
      </c>
    </row>
    <row r="34" spans="1:19">
      <c r="A34" t="s">
        <v>368</v>
      </c>
      <c r="B34" t="s">
        <v>392</v>
      </c>
      <c r="C34" t="s">
        <v>15</v>
      </c>
      <c r="D34" t="s">
        <v>16</v>
      </c>
      <c r="E34" t="s">
        <v>17</v>
      </c>
      <c r="F34" s="2">
        <v>4788000</v>
      </c>
      <c r="G34">
        <f>IF(F34="","",F34*Parameters!$B$1)</f>
        <v>1005480</v>
      </c>
      <c r="H34" s="2">
        <v>1890000</v>
      </c>
      <c r="I34">
        <f>IF(H34="","",H34*Parameters!$B$1)</f>
        <v>396900</v>
      </c>
      <c r="J34">
        <f t="shared" si="2"/>
        <v>1402380</v>
      </c>
      <c r="K34" s="2">
        <v>1252000</v>
      </c>
      <c r="L34">
        <f>IF(K34="","",K34*Parameters!$B$1)</f>
        <v>262920</v>
      </c>
      <c r="M34">
        <f t="shared" si="0"/>
        <v>1268400</v>
      </c>
      <c r="N34" s="2">
        <v>1192600</v>
      </c>
      <c r="O34">
        <f>IF(N34="","",N34*Parameters!$B$1)</f>
        <v>250446</v>
      </c>
      <c r="P34">
        <f t="shared" si="1"/>
        <v>1255926</v>
      </c>
      <c r="Q34" s="2">
        <v>869000</v>
      </c>
      <c r="R34">
        <f>IF(Q34="","",Q34*Parameters!$B$1)</f>
        <v>182490</v>
      </c>
      <c r="S34">
        <f t="shared" si="3"/>
        <v>1187970</v>
      </c>
    </row>
    <row r="35" spans="1:19">
      <c r="A35" t="s">
        <v>368</v>
      </c>
      <c r="B35" t="s">
        <v>393</v>
      </c>
      <c r="C35" t="s">
        <v>15</v>
      </c>
      <c r="D35" t="s">
        <v>16</v>
      </c>
      <c r="E35" t="s">
        <v>17</v>
      </c>
      <c r="F35" s="2">
        <v>4788000</v>
      </c>
      <c r="G35">
        <f>IF(F35="","",F35*Parameters!$B$1)</f>
        <v>1005480</v>
      </c>
      <c r="H35" s="2">
        <v>1890000</v>
      </c>
      <c r="I35">
        <f>IF(H35="","",H35*Parameters!$B$1)</f>
        <v>396900</v>
      </c>
      <c r="J35">
        <f t="shared" si="2"/>
        <v>1402380</v>
      </c>
      <c r="K35" s="2">
        <v>1252000</v>
      </c>
      <c r="L35">
        <f>IF(K35="","",K35*Parameters!$B$1)</f>
        <v>262920</v>
      </c>
      <c r="M35">
        <f t="shared" si="0"/>
        <v>1268400</v>
      </c>
      <c r="N35" s="2">
        <v>1192600</v>
      </c>
      <c r="O35">
        <f>IF(N35="","",N35*Parameters!$B$1)</f>
        <v>250446</v>
      </c>
      <c r="P35">
        <f t="shared" si="1"/>
        <v>1255926</v>
      </c>
      <c r="Q35" s="2">
        <v>869000</v>
      </c>
      <c r="R35">
        <f>IF(Q35="","",Q35*Parameters!$B$1)</f>
        <v>182490</v>
      </c>
      <c r="S35">
        <f t="shared" si="3"/>
        <v>1187970</v>
      </c>
    </row>
    <row r="36" spans="1:19">
      <c r="A36" t="s">
        <v>368</v>
      </c>
      <c r="B36" t="s">
        <v>394</v>
      </c>
      <c r="C36" t="s">
        <v>15</v>
      </c>
      <c r="D36" t="s">
        <v>16</v>
      </c>
      <c r="E36" t="s">
        <v>17</v>
      </c>
      <c r="F36" s="2">
        <v>4788000</v>
      </c>
      <c r="G36">
        <f>IF(F36="","",F36*Parameters!$B$1)</f>
        <v>1005480</v>
      </c>
      <c r="H36" s="2">
        <v>1890000</v>
      </c>
      <c r="I36">
        <f>IF(H36="","",H36*Parameters!$B$1)</f>
        <v>396900</v>
      </c>
      <c r="J36">
        <f t="shared" si="2"/>
        <v>1402380</v>
      </c>
      <c r="K36" s="2">
        <v>1252000</v>
      </c>
      <c r="L36">
        <f>IF(K36="","",K36*Parameters!$B$1)</f>
        <v>262920</v>
      </c>
      <c r="M36">
        <f t="shared" si="0"/>
        <v>1268400</v>
      </c>
      <c r="N36" s="2">
        <v>1192600</v>
      </c>
      <c r="O36">
        <f>IF(N36="","",N36*Parameters!$B$1)</f>
        <v>250446</v>
      </c>
      <c r="P36">
        <f t="shared" si="1"/>
        <v>1255926</v>
      </c>
      <c r="Q36" s="2">
        <v>869000</v>
      </c>
      <c r="R36">
        <f>IF(Q36="","",Q36*Parameters!$B$1)</f>
        <v>182490</v>
      </c>
      <c r="S36">
        <f t="shared" si="3"/>
        <v>1187970</v>
      </c>
    </row>
    <row r="37" spans="1:19">
      <c r="A37" t="s">
        <v>368</v>
      </c>
      <c r="B37" t="s">
        <v>395</v>
      </c>
      <c r="C37" t="s">
        <v>15</v>
      </c>
      <c r="D37" t="s">
        <v>16</v>
      </c>
      <c r="E37" t="s">
        <v>17</v>
      </c>
      <c r="F37" s="2">
        <v>4788000</v>
      </c>
      <c r="G37">
        <f>IF(F37="","",F37*Parameters!$B$1)</f>
        <v>1005480</v>
      </c>
      <c r="H37" s="2">
        <v>1890000</v>
      </c>
      <c r="I37">
        <f>IF(H37="","",H37*Parameters!$B$1)</f>
        <v>396900</v>
      </c>
      <c r="J37">
        <f t="shared" si="2"/>
        <v>1402380</v>
      </c>
      <c r="K37" s="2">
        <v>1252000</v>
      </c>
      <c r="L37">
        <f>IF(K37="","",K37*Parameters!$B$1)</f>
        <v>262920</v>
      </c>
      <c r="M37">
        <f t="shared" si="0"/>
        <v>1268400</v>
      </c>
      <c r="N37" s="2">
        <v>1192600</v>
      </c>
      <c r="O37">
        <f>IF(N37="","",N37*Parameters!$B$1)</f>
        <v>250446</v>
      </c>
      <c r="P37">
        <f t="shared" si="1"/>
        <v>1255926</v>
      </c>
      <c r="Q37" s="2">
        <v>869000</v>
      </c>
      <c r="R37">
        <f>IF(Q37="","",Q37*Parameters!$B$1)</f>
        <v>182490</v>
      </c>
      <c r="S37">
        <f t="shared" si="3"/>
        <v>1187970</v>
      </c>
    </row>
    <row r="38" spans="1:19">
      <c r="A38" t="s">
        <v>368</v>
      </c>
      <c r="B38" t="s">
        <v>34</v>
      </c>
      <c r="C38" t="s">
        <v>15</v>
      </c>
      <c r="D38" t="s">
        <v>16</v>
      </c>
      <c r="E38" t="s">
        <v>17</v>
      </c>
      <c r="F38" s="2">
        <v>4788000</v>
      </c>
      <c r="G38">
        <f>IF(F38="","",F38*Parameters!$B$1)</f>
        <v>1005480</v>
      </c>
      <c r="H38" s="2">
        <v>1890000</v>
      </c>
      <c r="I38">
        <f>IF(H38="","",H38*Parameters!$B$1)</f>
        <v>396900</v>
      </c>
      <c r="J38">
        <f t="shared" si="2"/>
        <v>1402380</v>
      </c>
      <c r="K38" s="2">
        <v>1252000</v>
      </c>
      <c r="L38">
        <f>IF(K38="","",K38*Parameters!$B$1)</f>
        <v>262920</v>
      </c>
      <c r="M38">
        <f t="shared" si="0"/>
        <v>1268400</v>
      </c>
      <c r="N38" s="2">
        <v>1192600</v>
      </c>
      <c r="O38">
        <f>IF(N38="","",N38*Parameters!$B$1)</f>
        <v>250446</v>
      </c>
      <c r="P38">
        <f t="shared" si="1"/>
        <v>1255926</v>
      </c>
      <c r="Q38" s="2">
        <v>869000</v>
      </c>
      <c r="R38">
        <f>IF(Q38="","",Q38*Parameters!$B$1)</f>
        <v>182490</v>
      </c>
      <c r="S38">
        <f t="shared" si="3"/>
        <v>1187970</v>
      </c>
    </row>
    <row r="39" spans="1:19">
      <c r="A39" t="s">
        <v>368</v>
      </c>
      <c r="B39" t="s">
        <v>396</v>
      </c>
      <c r="C39" t="s">
        <v>15</v>
      </c>
      <c r="D39" t="s">
        <v>16</v>
      </c>
      <c r="E39" t="s">
        <v>17</v>
      </c>
      <c r="F39" s="2">
        <v>4788000</v>
      </c>
      <c r="G39">
        <f>IF(F39="","",F39*Parameters!$B$1)</f>
        <v>1005480</v>
      </c>
      <c r="H39" s="2">
        <v>1890000</v>
      </c>
      <c r="I39">
        <f>IF(H39="","",H39*Parameters!$B$1)</f>
        <v>396900</v>
      </c>
      <c r="J39">
        <f t="shared" si="2"/>
        <v>1402380</v>
      </c>
      <c r="K39" s="2">
        <v>1252000</v>
      </c>
      <c r="L39">
        <f>IF(K39="","",K39*Parameters!$B$1)</f>
        <v>262920</v>
      </c>
      <c r="M39">
        <f t="shared" si="0"/>
        <v>1268400</v>
      </c>
      <c r="N39" s="2">
        <v>1192600</v>
      </c>
      <c r="O39">
        <f>IF(N39="","",N39*Parameters!$B$1)</f>
        <v>250446</v>
      </c>
      <c r="P39">
        <f t="shared" si="1"/>
        <v>1255926</v>
      </c>
      <c r="Q39" s="2">
        <v>869000</v>
      </c>
      <c r="R39">
        <f>IF(Q39="","",Q39*Parameters!$B$1)</f>
        <v>182490</v>
      </c>
      <c r="S39">
        <f t="shared" si="3"/>
        <v>1187970</v>
      </c>
    </row>
    <row r="40" spans="1:19">
      <c r="A40" t="s">
        <v>368</v>
      </c>
      <c r="B40" t="s">
        <v>250</v>
      </c>
      <c r="C40" t="s">
        <v>15</v>
      </c>
      <c r="D40" t="s">
        <v>16</v>
      </c>
      <c r="E40" t="s">
        <v>17</v>
      </c>
      <c r="F40" s="2">
        <v>4788000</v>
      </c>
      <c r="G40">
        <f>IF(F40="","",F40*Parameters!$B$1)</f>
        <v>1005480</v>
      </c>
      <c r="H40" s="2">
        <v>1890000</v>
      </c>
      <c r="I40">
        <f>IF(H40="","",H40*Parameters!$B$1)</f>
        <v>396900</v>
      </c>
      <c r="J40">
        <f t="shared" si="2"/>
        <v>1402380</v>
      </c>
      <c r="K40" s="2">
        <v>1252000</v>
      </c>
      <c r="L40">
        <f>IF(K40="","",K40*Parameters!$B$1)</f>
        <v>262920</v>
      </c>
      <c r="M40">
        <f t="shared" si="0"/>
        <v>1268400</v>
      </c>
      <c r="N40" s="2">
        <v>1192600</v>
      </c>
      <c r="O40">
        <f>IF(N40="","",N40*Parameters!$B$1)</f>
        <v>250446</v>
      </c>
      <c r="P40">
        <f t="shared" si="1"/>
        <v>1255926</v>
      </c>
      <c r="Q40" s="2">
        <v>869000</v>
      </c>
      <c r="R40">
        <f>IF(Q40="","",Q40*Parameters!$B$1)</f>
        <v>182490</v>
      </c>
      <c r="S40">
        <f t="shared" si="3"/>
        <v>1187970</v>
      </c>
    </row>
    <row r="41" spans="1:19">
      <c r="A41" t="s">
        <v>368</v>
      </c>
      <c r="B41" t="s">
        <v>397</v>
      </c>
      <c r="C41" t="s">
        <v>15</v>
      </c>
      <c r="D41" t="s">
        <v>16</v>
      </c>
      <c r="E41" t="s">
        <v>17</v>
      </c>
      <c r="F41" s="2">
        <v>4788000</v>
      </c>
      <c r="G41">
        <f>IF(F41="","",F41*Parameters!$B$1)</f>
        <v>1005480</v>
      </c>
      <c r="H41" s="2">
        <v>1890000</v>
      </c>
      <c r="I41">
        <f>IF(H41="","",H41*Parameters!$B$1)</f>
        <v>396900</v>
      </c>
      <c r="J41">
        <f t="shared" si="2"/>
        <v>1402380</v>
      </c>
      <c r="K41" s="2">
        <v>1252000</v>
      </c>
      <c r="L41">
        <f>IF(K41="","",K41*Parameters!$B$1)</f>
        <v>262920</v>
      </c>
      <c r="M41">
        <f t="shared" si="0"/>
        <v>1268400</v>
      </c>
      <c r="N41" s="2">
        <v>1192600</v>
      </c>
      <c r="O41">
        <f>IF(N41="","",N41*Parameters!$B$1)</f>
        <v>250446</v>
      </c>
      <c r="P41">
        <f t="shared" si="1"/>
        <v>1255926</v>
      </c>
      <c r="Q41" s="2">
        <v>869000</v>
      </c>
      <c r="R41">
        <f>IF(Q41="","",Q41*Parameters!$B$1)</f>
        <v>182490</v>
      </c>
      <c r="S41">
        <f t="shared" si="3"/>
        <v>1187970</v>
      </c>
    </row>
    <row r="42" spans="1:19" ht="30">
      <c r="A42" t="s">
        <v>368</v>
      </c>
      <c r="B42" s="1" t="s">
        <v>398</v>
      </c>
      <c r="C42" t="s">
        <v>15</v>
      </c>
      <c r="D42" t="s">
        <v>16</v>
      </c>
      <c r="E42" t="s">
        <v>17</v>
      </c>
      <c r="F42" s="2">
        <v>4788000</v>
      </c>
      <c r="G42">
        <f>IF(F42="","",F42*Parameters!$B$1)</f>
        <v>1005480</v>
      </c>
      <c r="H42" s="2">
        <v>1890000</v>
      </c>
      <c r="I42">
        <f>IF(H42="","",H42*Parameters!$B$1)</f>
        <v>396900</v>
      </c>
      <c r="J42">
        <f t="shared" si="2"/>
        <v>1402380</v>
      </c>
      <c r="K42" s="2">
        <v>1252000</v>
      </c>
      <c r="L42">
        <f>IF(K42="","",K42*Parameters!$B$1)</f>
        <v>262920</v>
      </c>
      <c r="M42">
        <f t="shared" si="0"/>
        <v>1268400</v>
      </c>
      <c r="N42" s="2">
        <v>1192600</v>
      </c>
      <c r="O42">
        <f>IF(N42="","",N42*Parameters!$B$1)</f>
        <v>250446</v>
      </c>
      <c r="P42">
        <f t="shared" si="1"/>
        <v>1255926</v>
      </c>
      <c r="Q42" s="2">
        <v>869000</v>
      </c>
      <c r="R42">
        <f>IF(Q42="","",Q42*Parameters!$B$1)</f>
        <v>182490</v>
      </c>
      <c r="S42">
        <f t="shared" si="3"/>
        <v>1187970</v>
      </c>
    </row>
    <row r="43" spans="1:19">
      <c r="A43" t="s">
        <v>368</v>
      </c>
      <c r="B43" t="s">
        <v>399</v>
      </c>
      <c r="C43" t="s">
        <v>15</v>
      </c>
      <c r="D43" t="s">
        <v>16</v>
      </c>
      <c r="E43" t="s">
        <v>17</v>
      </c>
      <c r="F43" s="2">
        <v>4788000</v>
      </c>
      <c r="G43">
        <f>IF(F43="","",F43*Parameters!$B$1)</f>
        <v>1005480</v>
      </c>
      <c r="H43" s="2">
        <v>1890000</v>
      </c>
      <c r="I43">
        <f>IF(H43="","",H43*Parameters!$B$1)</f>
        <v>396900</v>
      </c>
      <c r="J43">
        <f t="shared" si="2"/>
        <v>1402380</v>
      </c>
      <c r="K43" s="2">
        <v>1252000</v>
      </c>
      <c r="L43">
        <f>IF(K43="","",K43*Parameters!$B$1)</f>
        <v>262920</v>
      </c>
      <c r="M43">
        <f t="shared" si="0"/>
        <v>1268400</v>
      </c>
      <c r="N43" s="2">
        <v>1192600</v>
      </c>
      <c r="O43">
        <f>IF(N43="","",N43*Parameters!$B$1)</f>
        <v>250446</v>
      </c>
      <c r="P43">
        <f t="shared" si="1"/>
        <v>1255926</v>
      </c>
      <c r="Q43" s="2">
        <v>869000</v>
      </c>
      <c r="R43">
        <f>IF(Q43="","",Q43*Parameters!$B$1)</f>
        <v>182490</v>
      </c>
      <c r="S43">
        <f t="shared" si="3"/>
        <v>1187970</v>
      </c>
    </row>
    <row r="44" spans="1:19">
      <c r="A44" t="s">
        <v>368</v>
      </c>
      <c r="B44" t="s">
        <v>400</v>
      </c>
      <c r="C44" t="s">
        <v>15</v>
      </c>
      <c r="D44" t="s">
        <v>16</v>
      </c>
      <c r="E44" t="s">
        <v>17</v>
      </c>
      <c r="F44" s="2">
        <v>4788000</v>
      </c>
      <c r="G44">
        <f>IF(F44="","",F44*Parameters!$B$1)</f>
        <v>1005480</v>
      </c>
      <c r="H44" s="2">
        <v>1890000</v>
      </c>
      <c r="I44">
        <f>IF(H44="","",H44*Parameters!$B$1)</f>
        <v>396900</v>
      </c>
      <c r="J44">
        <f t="shared" si="2"/>
        <v>1402380</v>
      </c>
      <c r="K44" s="2">
        <v>1252000</v>
      </c>
      <c r="L44">
        <f>IF(K44="","",K44*Parameters!$B$1)</f>
        <v>262920</v>
      </c>
      <c r="M44">
        <f t="shared" si="0"/>
        <v>1268400</v>
      </c>
      <c r="N44" s="2">
        <v>1192600</v>
      </c>
      <c r="O44">
        <f>IF(N44="","",N44*Parameters!$B$1)</f>
        <v>250446</v>
      </c>
      <c r="P44">
        <f t="shared" si="1"/>
        <v>1255926</v>
      </c>
      <c r="Q44" s="2">
        <v>869000</v>
      </c>
      <c r="R44">
        <f>IF(Q44="","",Q44*Parameters!$B$1)</f>
        <v>182490</v>
      </c>
      <c r="S44">
        <f t="shared" si="3"/>
        <v>1187970</v>
      </c>
    </row>
    <row r="45" spans="1:19">
      <c r="A45" t="s">
        <v>368</v>
      </c>
      <c r="B45" t="s">
        <v>401</v>
      </c>
      <c r="C45" t="s">
        <v>15</v>
      </c>
      <c r="D45" t="s">
        <v>16</v>
      </c>
      <c r="E45" t="s">
        <v>17</v>
      </c>
      <c r="F45" s="2">
        <v>4788000</v>
      </c>
      <c r="G45">
        <f>IF(F45="","",F45*Parameters!$B$1)</f>
        <v>1005480</v>
      </c>
      <c r="H45" s="2">
        <v>1890000</v>
      </c>
      <c r="I45">
        <f>IF(H45="","",H45*Parameters!$B$1)</f>
        <v>396900</v>
      </c>
      <c r="J45">
        <f t="shared" si="2"/>
        <v>1402380</v>
      </c>
      <c r="K45" s="2">
        <v>1252000</v>
      </c>
      <c r="L45">
        <f>IF(K45="","",K45*Parameters!$B$1)</f>
        <v>262920</v>
      </c>
      <c r="M45">
        <f t="shared" si="0"/>
        <v>1268400</v>
      </c>
      <c r="N45" s="2">
        <v>1192600</v>
      </c>
      <c r="O45">
        <f>IF(N45="","",N45*Parameters!$B$1)</f>
        <v>250446</v>
      </c>
      <c r="P45">
        <f t="shared" si="1"/>
        <v>1255926</v>
      </c>
      <c r="Q45" s="2">
        <v>869000</v>
      </c>
      <c r="R45">
        <f>IF(Q45="","",Q45*Parameters!$B$1)</f>
        <v>182490</v>
      </c>
      <c r="S45">
        <f t="shared" si="3"/>
        <v>1187970</v>
      </c>
    </row>
    <row r="46" spans="1:19">
      <c r="A46" t="s">
        <v>368</v>
      </c>
      <c r="B46" t="s">
        <v>402</v>
      </c>
      <c r="C46" t="s">
        <v>15</v>
      </c>
      <c r="D46" t="s">
        <v>16</v>
      </c>
      <c r="E46" t="s">
        <v>17</v>
      </c>
      <c r="F46" s="2">
        <v>4788000</v>
      </c>
      <c r="G46">
        <f>IF(F46="","",F46*Parameters!$B$1)</f>
        <v>1005480</v>
      </c>
      <c r="H46" s="2">
        <v>1890000</v>
      </c>
      <c r="I46">
        <f>IF(H46="","",H46*Parameters!$B$1)</f>
        <v>396900</v>
      </c>
      <c r="J46">
        <f t="shared" si="2"/>
        <v>1402380</v>
      </c>
      <c r="K46" s="2">
        <v>1252000</v>
      </c>
      <c r="L46">
        <f>IF(K46="","",K46*Parameters!$B$1)</f>
        <v>262920</v>
      </c>
      <c r="M46">
        <f t="shared" si="0"/>
        <v>1268400</v>
      </c>
      <c r="N46" s="2">
        <v>1192600</v>
      </c>
      <c r="O46">
        <f>IF(N46="","",N46*Parameters!$B$1)</f>
        <v>250446</v>
      </c>
      <c r="P46">
        <f t="shared" si="1"/>
        <v>1255926</v>
      </c>
      <c r="Q46" s="2">
        <v>869000</v>
      </c>
      <c r="R46">
        <f>IF(Q46="","",Q46*Parameters!$B$1)</f>
        <v>182490</v>
      </c>
      <c r="S46">
        <f t="shared" si="3"/>
        <v>1187970</v>
      </c>
    </row>
    <row r="47" spans="1:19">
      <c r="A47" t="s">
        <v>368</v>
      </c>
      <c r="B47" t="s">
        <v>403</v>
      </c>
      <c r="C47" t="s">
        <v>15</v>
      </c>
      <c r="D47" t="s">
        <v>16</v>
      </c>
      <c r="E47" t="s">
        <v>17</v>
      </c>
      <c r="F47" s="2">
        <v>4788000</v>
      </c>
      <c r="G47">
        <f>IF(F47="","",F47*Parameters!$B$1)</f>
        <v>1005480</v>
      </c>
      <c r="H47" s="2">
        <v>1890000</v>
      </c>
      <c r="I47">
        <f>IF(H47="","",H47*Parameters!$B$1)</f>
        <v>396900</v>
      </c>
      <c r="J47">
        <f t="shared" si="2"/>
        <v>1402380</v>
      </c>
      <c r="K47" s="2">
        <v>1252000</v>
      </c>
      <c r="L47">
        <f>IF(K47="","",K47*Parameters!$B$1)</f>
        <v>262920</v>
      </c>
      <c r="M47">
        <f t="shared" si="0"/>
        <v>1268400</v>
      </c>
      <c r="N47" s="2">
        <v>1192600</v>
      </c>
      <c r="O47">
        <f>IF(N47="","",N47*Parameters!$B$1)</f>
        <v>250446</v>
      </c>
      <c r="P47">
        <f t="shared" si="1"/>
        <v>1255926</v>
      </c>
      <c r="Q47" s="2">
        <v>869000</v>
      </c>
      <c r="R47">
        <f>IF(Q47="","",Q47*Parameters!$B$1)</f>
        <v>182490</v>
      </c>
      <c r="S47">
        <f t="shared" si="3"/>
        <v>1187970</v>
      </c>
    </row>
    <row r="48" spans="1:19">
      <c r="A48" t="s">
        <v>368</v>
      </c>
      <c r="B48" t="s">
        <v>404</v>
      </c>
      <c r="C48" t="s">
        <v>15</v>
      </c>
      <c r="D48" t="s">
        <v>16</v>
      </c>
      <c r="E48" t="s">
        <v>17</v>
      </c>
      <c r="F48" s="2">
        <v>4788000</v>
      </c>
      <c r="G48">
        <f>IF(F48="","",F48*Parameters!$B$1)</f>
        <v>1005480</v>
      </c>
      <c r="H48" s="2">
        <v>1890000</v>
      </c>
      <c r="I48">
        <f>IF(H48="","",H48*Parameters!$B$1)</f>
        <v>396900</v>
      </c>
      <c r="J48">
        <f t="shared" si="2"/>
        <v>1402380</v>
      </c>
      <c r="K48" s="2">
        <v>1252000</v>
      </c>
      <c r="L48">
        <f>IF(K48="","",K48*Parameters!$B$1)</f>
        <v>262920</v>
      </c>
      <c r="M48">
        <f t="shared" si="0"/>
        <v>1268400</v>
      </c>
      <c r="N48" s="2">
        <v>1192600</v>
      </c>
      <c r="O48">
        <f>IF(N48="","",N48*Parameters!$B$1)</f>
        <v>250446</v>
      </c>
      <c r="P48">
        <f t="shared" si="1"/>
        <v>1255926</v>
      </c>
      <c r="Q48" s="2">
        <v>869000</v>
      </c>
      <c r="R48">
        <f>IF(Q48="","",Q48*Parameters!$B$1)</f>
        <v>182490</v>
      </c>
      <c r="S48">
        <f t="shared" si="3"/>
        <v>1187970</v>
      </c>
    </row>
    <row r="49" spans="1:19">
      <c r="A49" t="s">
        <v>368</v>
      </c>
      <c r="B49" t="s">
        <v>405</v>
      </c>
      <c r="C49" t="s">
        <v>15</v>
      </c>
      <c r="D49" t="s">
        <v>16</v>
      </c>
      <c r="E49" t="s">
        <v>17</v>
      </c>
      <c r="F49" s="2">
        <v>4788000</v>
      </c>
      <c r="G49">
        <f>IF(F49="","",F49*Parameters!$B$1)</f>
        <v>1005480</v>
      </c>
      <c r="H49" s="2">
        <v>1890000</v>
      </c>
      <c r="I49">
        <f>IF(H49="","",H49*Parameters!$B$1)</f>
        <v>396900</v>
      </c>
      <c r="J49">
        <f t="shared" si="2"/>
        <v>1402380</v>
      </c>
      <c r="K49" s="2">
        <v>1252000</v>
      </c>
      <c r="L49">
        <f>IF(K49="","",K49*Parameters!$B$1)</f>
        <v>262920</v>
      </c>
      <c r="M49">
        <f t="shared" si="0"/>
        <v>1268400</v>
      </c>
      <c r="N49" s="2">
        <v>1192600</v>
      </c>
      <c r="O49">
        <f>IF(N49="","",N49*Parameters!$B$1)</f>
        <v>250446</v>
      </c>
      <c r="P49">
        <f t="shared" si="1"/>
        <v>1255926</v>
      </c>
      <c r="Q49" s="2">
        <v>869000</v>
      </c>
      <c r="R49">
        <f>IF(Q49="","",Q49*Parameters!$B$1)</f>
        <v>182490</v>
      </c>
      <c r="S49">
        <f t="shared" si="3"/>
        <v>1187970</v>
      </c>
    </row>
    <row r="50" spans="1:19">
      <c r="A50" t="s">
        <v>368</v>
      </c>
      <c r="B50" t="s">
        <v>406</v>
      </c>
      <c r="C50" t="s">
        <v>15</v>
      </c>
      <c r="D50" t="s">
        <v>16</v>
      </c>
      <c r="E50" t="s">
        <v>17</v>
      </c>
      <c r="F50" s="2">
        <v>4788000</v>
      </c>
      <c r="G50">
        <f>IF(F50="","",F50*Parameters!$B$1)</f>
        <v>1005480</v>
      </c>
      <c r="H50" s="2">
        <v>1890000</v>
      </c>
      <c r="I50">
        <f>IF(H50="","",H50*Parameters!$B$1)</f>
        <v>396900</v>
      </c>
      <c r="J50">
        <f t="shared" si="2"/>
        <v>1402380</v>
      </c>
      <c r="K50" s="2">
        <v>1252000</v>
      </c>
      <c r="L50">
        <f>IF(K50="","",K50*Parameters!$B$1)</f>
        <v>262920</v>
      </c>
      <c r="M50">
        <f t="shared" si="0"/>
        <v>1268400</v>
      </c>
      <c r="N50" s="2">
        <v>1192600</v>
      </c>
      <c r="O50">
        <f>IF(N50="","",N50*Parameters!$B$1)</f>
        <v>250446</v>
      </c>
      <c r="P50">
        <f t="shared" si="1"/>
        <v>1255926</v>
      </c>
      <c r="Q50" s="2">
        <v>869000</v>
      </c>
      <c r="R50">
        <f>IF(Q50="","",Q50*Parameters!$B$1)</f>
        <v>182490</v>
      </c>
      <c r="S50">
        <f t="shared" si="3"/>
        <v>1187970</v>
      </c>
    </row>
    <row r="51" spans="1:19">
      <c r="A51" t="s">
        <v>368</v>
      </c>
      <c r="B51" t="s">
        <v>272</v>
      </c>
      <c r="C51" t="s">
        <v>15</v>
      </c>
      <c r="D51" t="s">
        <v>16</v>
      </c>
      <c r="E51" t="s">
        <v>17</v>
      </c>
      <c r="F51" s="2">
        <v>4788000</v>
      </c>
      <c r="G51">
        <f>IF(F51="","",F51*Parameters!$B$1)</f>
        <v>1005480</v>
      </c>
      <c r="H51" s="2">
        <v>1890000</v>
      </c>
      <c r="I51">
        <f>IF(H51="","",H51*Parameters!$B$1)</f>
        <v>396900</v>
      </c>
      <c r="J51">
        <f t="shared" si="2"/>
        <v>1402380</v>
      </c>
      <c r="K51" s="2">
        <v>1252000</v>
      </c>
      <c r="L51">
        <f>IF(K51="","",K51*Parameters!$B$1)</f>
        <v>262920</v>
      </c>
      <c r="M51">
        <f t="shared" si="0"/>
        <v>1268400</v>
      </c>
      <c r="N51" s="2">
        <v>1192600</v>
      </c>
      <c r="O51">
        <f>IF(N51="","",N51*Parameters!$B$1)</f>
        <v>250446</v>
      </c>
      <c r="P51">
        <f t="shared" si="1"/>
        <v>1255926</v>
      </c>
      <c r="Q51" s="2">
        <v>869000</v>
      </c>
      <c r="R51">
        <f>IF(Q51="","",Q51*Parameters!$B$1)</f>
        <v>182490</v>
      </c>
      <c r="S51">
        <f t="shared" si="3"/>
        <v>1187970</v>
      </c>
    </row>
    <row r="52" spans="1:19" s="10" customFormat="1">
      <c r="A52" s="16" t="s">
        <v>407</v>
      </c>
      <c r="E52" s="16" t="s">
        <v>408</v>
      </c>
      <c r="F52" s="11">
        <v>650000</v>
      </c>
      <c r="G52" s="10">
        <f>IF(F52="","",F52*Parameters!$B$1)</f>
        <v>136500</v>
      </c>
      <c r="H52" s="11"/>
      <c r="J52" s="10" t="str">
        <f t="shared" si="2"/>
        <v/>
      </c>
      <c r="K52" s="11"/>
      <c r="M52" s="10" t="str">
        <f t="shared" ref="M52:M83" si="4">IF(OR(G52="",L52=""),"",G52+L52)</f>
        <v/>
      </c>
      <c r="N52" s="11"/>
      <c r="P52" s="10" t="str">
        <f t="shared" ref="P52:P83" si="5">IF(OR(G52="",O52=""),"",G52+O52)</f>
        <v/>
      </c>
    </row>
    <row r="53" spans="1:19">
      <c r="A53" t="s">
        <v>368</v>
      </c>
      <c r="B53" t="s">
        <v>409</v>
      </c>
      <c r="C53" t="s">
        <v>15</v>
      </c>
      <c r="D53" t="s">
        <v>16</v>
      </c>
      <c r="E53" t="s">
        <v>410</v>
      </c>
      <c r="F53" s="2">
        <v>4574000</v>
      </c>
      <c r="G53">
        <f>IF(F53="","",F53*Parameters!$B$1)</f>
        <v>960540</v>
      </c>
      <c r="H53" s="2">
        <v>1890000</v>
      </c>
      <c r="I53">
        <f>IF(H53="","",H53*Parameters!$B$1)</f>
        <v>396900</v>
      </c>
      <c r="J53">
        <f>IF(OR(G53="",I53=""),"",G53+I53)</f>
        <v>1357440</v>
      </c>
      <c r="K53" s="2">
        <v>1252000</v>
      </c>
      <c r="L53">
        <f>IF(K53="","",K53*Parameters!$B$1)</f>
        <v>262920</v>
      </c>
      <c r="M53">
        <f t="shared" si="4"/>
        <v>1223460</v>
      </c>
      <c r="N53" s="2">
        <v>1192600</v>
      </c>
      <c r="O53">
        <f>IF(N53="","",N53*Parameters!$B$1)</f>
        <v>250446</v>
      </c>
      <c r="P53">
        <f t="shared" si="5"/>
        <v>1210986</v>
      </c>
    </row>
    <row r="54" spans="1:19">
      <c r="A54" t="s">
        <v>368</v>
      </c>
      <c r="B54" t="s">
        <v>41</v>
      </c>
      <c r="C54" t="s">
        <v>15</v>
      </c>
      <c r="D54" t="s">
        <v>16</v>
      </c>
      <c r="E54" t="s">
        <v>410</v>
      </c>
      <c r="F54" s="2">
        <v>4574000</v>
      </c>
      <c r="G54">
        <f>IF(F54="","",F54*Parameters!$B$1)</f>
        <v>960540</v>
      </c>
      <c r="H54" s="2">
        <v>1890000</v>
      </c>
      <c r="I54">
        <f>IF(H54="","",H54*Parameters!$B$1)</f>
        <v>396900</v>
      </c>
      <c r="J54">
        <f t="shared" si="2"/>
        <v>1357440</v>
      </c>
      <c r="K54" s="2">
        <v>1252000</v>
      </c>
      <c r="L54">
        <f>IF(K54="","",K54*Parameters!$B$1)</f>
        <v>262920</v>
      </c>
      <c r="M54">
        <f t="shared" si="4"/>
        <v>1223460</v>
      </c>
      <c r="N54" s="2">
        <v>1192600</v>
      </c>
      <c r="O54">
        <f>IF(N54="","",N54*Parameters!$B$1)</f>
        <v>250446</v>
      </c>
      <c r="P54">
        <f t="shared" si="5"/>
        <v>1210986</v>
      </c>
    </row>
    <row r="55" spans="1:19">
      <c r="A55" t="s">
        <v>368</v>
      </c>
      <c r="B55" t="s">
        <v>56</v>
      </c>
      <c r="C55" t="s">
        <v>15</v>
      </c>
      <c r="D55" t="s">
        <v>16</v>
      </c>
      <c r="E55" t="s">
        <v>410</v>
      </c>
      <c r="F55" s="2">
        <v>4574000</v>
      </c>
      <c r="G55">
        <f>IF(F55="","",F55*Parameters!$B$1)</f>
        <v>960540</v>
      </c>
      <c r="H55" s="2">
        <v>1890000</v>
      </c>
      <c r="I55">
        <f>IF(H55="","",H55*Parameters!$B$1)</f>
        <v>396900</v>
      </c>
      <c r="J55">
        <f t="shared" si="2"/>
        <v>1357440</v>
      </c>
      <c r="K55" s="2">
        <v>1252000</v>
      </c>
      <c r="L55">
        <f>IF(K55="","",K55*Parameters!$B$1)</f>
        <v>262920</v>
      </c>
      <c r="M55">
        <f t="shared" si="4"/>
        <v>1223460</v>
      </c>
      <c r="N55" s="2">
        <v>1192600</v>
      </c>
      <c r="O55">
        <f>IF(N55="","",N55*Parameters!$B$1)</f>
        <v>250446</v>
      </c>
      <c r="P55">
        <f t="shared" si="5"/>
        <v>1210986</v>
      </c>
    </row>
    <row r="56" spans="1:19">
      <c r="A56" t="s">
        <v>368</v>
      </c>
      <c r="B56" t="s">
        <v>178</v>
      </c>
      <c r="C56" t="s">
        <v>15</v>
      </c>
      <c r="D56" t="s">
        <v>16</v>
      </c>
      <c r="E56" t="s">
        <v>410</v>
      </c>
      <c r="F56" s="2">
        <v>4574000</v>
      </c>
      <c r="G56">
        <f>IF(F56="","",F56*Parameters!$B$1)</f>
        <v>960540</v>
      </c>
      <c r="H56" s="2">
        <v>1890000</v>
      </c>
      <c r="I56">
        <f>IF(H56="","",H56*Parameters!$B$1)</f>
        <v>396900</v>
      </c>
      <c r="J56">
        <f t="shared" si="2"/>
        <v>1357440</v>
      </c>
      <c r="K56" s="2">
        <v>1252000</v>
      </c>
      <c r="L56">
        <f>IF(K56="","",K56*Parameters!$B$1)</f>
        <v>262920</v>
      </c>
      <c r="M56">
        <f t="shared" si="4"/>
        <v>1223460</v>
      </c>
      <c r="N56" s="2">
        <v>1192600</v>
      </c>
      <c r="O56">
        <f>IF(N56="","",N56*Parameters!$B$1)</f>
        <v>250446</v>
      </c>
      <c r="P56">
        <f t="shared" si="5"/>
        <v>1210986</v>
      </c>
    </row>
    <row r="57" spans="1:19">
      <c r="A57" t="s">
        <v>368</v>
      </c>
      <c r="B57" t="s">
        <v>180</v>
      </c>
      <c r="C57" t="s">
        <v>15</v>
      </c>
      <c r="D57" t="s">
        <v>16</v>
      </c>
      <c r="E57" t="s">
        <v>410</v>
      </c>
      <c r="F57" s="2">
        <v>4574000</v>
      </c>
      <c r="G57">
        <f>IF(F57="","",F57*Parameters!$B$1)</f>
        <v>960540</v>
      </c>
      <c r="H57" s="2">
        <v>1890000</v>
      </c>
      <c r="I57">
        <f>IF(H57="","",H57*Parameters!$B$1)</f>
        <v>396900</v>
      </c>
      <c r="J57">
        <f t="shared" si="2"/>
        <v>1357440</v>
      </c>
      <c r="K57" s="2">
        <v>1252000</v>
      </c>
      <c r="L57">
        <f>IF(K57="","",K57*Parameters!$B$1)</f>
        <v>262920</v>
      </c>
      <c r="M57">
        <f t="shared" si="4"/>
        <v>1223460</v>
      </c>
      <c r="N57" s="2">
        <v>1192600</v>
      </c>
      <c r="O57">
        <f>IF(N57="","",N57*Parameters!$B$1)</f>
        <v>250446</v>
      </c>
      <c r="P57">
        <f t="shared" si="5"/>
        <v>1210986</v>
      </c>
    </row>
    <row r="58" spans="1:19">
      <c r="A58" t="s">
        <v>368</v>
      </c>
      <c r="B58" t="s">
        <v>379</v>
      </c>
      <c r="C58" t="s">
        <v>15</v>
      </c>
      <c r="D58" t="s">
        <v>16</v>
      </c>
      <c r="E58" t="s">
        <v>410</v>
      </c>
      <c r="F58" s="2">
        <v>4574000</v>
      </c>
      <c r="G58">
        <f>IF(F58="","",F58*Parameters!$B$1)</f>
        <v>960540</v>
      </c>
      <c r="H58" s="2">
        <v>1890000</v>
      </c>
      <c r="I58">
        <f>IF(H58="","",H58*Parameters!$B$1)</f>
        <v>396900</v>
      </c>
      <c r="J58">
        <f t="shared" si="2"/>
        <v>1357440</v>
      </c>
      <c r="K58" s="2">
        <v>1252000</v>
      </c>
      <c r="L58">
        <f>IF(K58="","",K58*Parameters!$B$1)</f>
        <v>262920</v>
      </c>
      <c r="M58">
        <f t="shared" si="4"/>
        <v>1223460</v>
      </c>
      <c r="N58" s="2">
        <v>1192600</v>
      </c>
      <c r="O58">
        <f>IF(N58="","",N58*Parameters!$B$1)</f>
        <v>250446</v>
      </c>
      <c r="P58">
        <f t="shared" si="5"/>
        <v>1210986</v>
      </c>
    </row>
    <row r="59" spans="1:19">
      <c r="A59" t="s">
        <v>368</v>
      </c>
      <c r="B59" t="s">
        <v>411</v>
      </c>
      <c r="C59" t="s">
        <v>15</v>
      </c>
      <c r="D59" t="s">
        <v>16</v>
      </c>
      <c r="E59" t="s">
        <v>410</v>
      </c>
      <c r="F59" s="2">
        <v>4574000</v>
      </c>
      <c r="G59">
        <f>IF(F59="","",F59*Parameters!$B$1)</f>
        <v>960540</v>
      </c>
      <c r="H59" s="2">
        <v>1890000</v>
      </c>
      <c r="I59">
        <f>IF(H59="","",H59*Parameters!$B$1)</f>
        <v>396900</v>
      </c>
      <c r="J59">
        <f t="shared" si="2"/>
        <v>1357440</v>
      </c>
      <c r="K59" s="2">
        <v>1252000</v>
      </c>
      <c r="L59">
        <f>IF(K59="","",K59*Parameters!$B$1)</f>
        <v>262920</v>
      </c>
      <c r="M59">
        <f t="shared" si="4"/>
        <v>1223460</v>
      </c>
      <c r="N59" s="2">
        <v>1192600</v>
      </c>
      <c r="O59">
        <f>IF(N59="","",N59*Parameters!$B$1)</f>
        <v>250446</v>
      </c>
      <c r="P59">
        <f t="shared" si="5"/>
        <v>1210986</v>
      </c>
    </row>
    <row r="60" spans="1:19">
      <c r="A60" t="s">
        <v>368</v>
      </c>
      <c r="B60" t="s">
        <v>412</v>
      </c>
      <c r="C60" t="s">
        <v>15</v>
      </c>
      <c r="D60" t="s">
        <v>16</v>
      </c>
      <c r="E60" t="s">
        <v>410</v>
      </c>
      <c r="F60" s="2">
        <v>4574000</v>
      </c>
      <c r="G60">
        <f>IF(F60="","",F60*Parameters!$B$1)</f>
        <v>960540</v>
      </c>
      <c r="H60" s="2">
        <v>1890000</v>
      </c>
      <c r="I60">
        <f>IF(H60="","",H60*Parameters!$B$1)</f>
        <v>396900</v>
      </c>
      <c r="J60">
        <f t="shared" si="2"/>
        <v>1357440</v>
      </c>
      <c r="K60" s="2">
        <v>1252000</v>
      </c>
      <c r="L60">
        <f>IF(K60="","",K60*Parameters!$B$1)</f>
        <v>262920</v>
      </c>
      <c r="M60">
        <f t="shared" si="4"/>
        <v>1223460</v>
      </c>
      <c r="N60" s="2">
        <v>1192600</v>
      </c>
      <c r="O60">
        <f>IF(N60="","",N60*Parameters!$B$1)</f>
        <v>250446</v>
      </c>
      <c r="P60">
        <f t="shared" si="5"/>
        <v>1210986</v>
      </c>
    </row>
    <row r="61" spans="1:19">
      <c r="A61" t="s">
        <v>368</v>
      </c>
      <c r="B61" t="s">
        <v>413</v>
      </c>
      <c r="C61" t="s">
        <v>15</v>
      </c>
      <c r="D61" t="s">
        <v>16</v>
      </c>
      <c r="E61" t="s">
        <v>410</v>
      </c>
      <c r="F61" s="2">
        <v>4574000</v>
      </c>
      <c r="G61">
        <f>IF(F61="","",F61*Parameters!$B$1)</f>
        <v>960540</v>
      </c>
      <c r="H61" s="2">
        <v>1890000</v>
      </c>
      <c r="I61">
        <f>IF(H61="","",H61*Parameters!$B$1)</f>
        <v>396900</v>
      </c>
      <c r="J61">
        <f t="shared" si="2"/>
        <v>1357440</v>
      </c>
      <c r="K61" s="2">
        <v>1252000</v>
      </c>
      <c r="L61">
        <f>IF(K61="","",K61*Parameters!$B$1)</f>
        <v>262920</v>
      </c>
      <c r="M61">
        <f t="shared" si="4"/>
        <v>1223460</v>
      </c>
      <c r="N61" s="2">
        <v>1192600</v>
      </c>
      <c r="O61">
        <f>IF(N61="","",N61*Parameters!$B$1)</f>
        <v>250446</v>
      </c>
      <c r="P61">
        <f t="shared" si="5"/>
        <v>1210986</v>
      </c>
    </row>
    <row r="62" spans="1:19">
      <c r="A62" t="s">
        <v>368</v>
      </c>
      <c r="B62" t="s">
        <v>33</v>
      </c>
      <c r="C62" t="s">
        <v>15</v>
      </c>
      <c r="D62" t="s">
        <v>16</v>
      </c>
      <c r="E62" t="s">
        <v>410</v>
      </c>
      <c r="F62" s="2">
        <v>4574000</v>
      </c>
      <c r="G62">
        <f>IF(F62="","",F62*Parameters!$B$1)</f>
        <v>960540</v>
      </c>
      <c r="H62" s="2">
        <v>1890000</v>
      </c>
      <c r="I62">
        <f>IF(H62="","",H62*Parameters!$B$1)</f>
        <v>396900</v>
      </c>
      <c r="J62">
        <f t="shared" si="2"/>
        <v>1357440</v>
      </c>
      <c r="K62" s="2">
        <v>1252000</v>
      </c>
      <c r="L62">
        <f>IF(K62="","",K62*Parameters!$B$1)</f>
        <v>262920</v>
      </c>
      <c r="M62">
        <f t="shared" si="4"/>
        <v>1223460</v>
      </c>
      <c r="N62" s="2">
        <v>1192600</v>
      </c>
      <c r="O62">
        <f>IF(N62="","",N62*Parameters!$B$1)</f>
        <v>250446</v>
      </c>
      <c r="P62">
        <f t="shared" si="5"/>
        <v>1210986</v>
      </c>
    </row>
    <row r="63" spans="1:19">
      <c r="A63" t="s">
        <v>368</v>
      </c>
      <c r="B63" t="s">
        <v>375</v>
      </c>
      <c r="C63" t="s">
        <v>15</v>
      </c>
      <c r="D63" t="s">
        <v>16</v>
      </c>
      <c r="E63" t="s">
        <v>410</v>
      </c>
      <c r="F63" s="2">
        <v>4574000</v>
      </c>
      <c r="G63">
        <f>IF(F63="","",F63*Parameters!$B$1)</f>
        <v>960540</v>
      </c>
      <c r="H63" s="2">
        <v>1890000</v>
      </c>
      <c r="I63">
        <f>IF(H63="","",H63*Parameters!$B$1)</f>
        <v>396900</v>
      </c>
      <c r="J63">
        <f t="shared" si="2"/>
        <v>1357440</v>
      </c>
      <c r="K63" s="2">
        <v>1252000</v>
      </c>
      <c r="L63">
        <f>IF(K63="","",K63*Parameters!$B$1)</f>
        <v>262920</v>
      </c>
      <c r="M63">
        <f t="shared" si="4"/>
        <v>1223460</v>
      </c>
      <c r="N63" s="2">
        <v>1192600</v>
      </c>
      <c r="O63">
        <f>IF(N63="","",N63*Parameters!$B$1)</f>
        <v>250446</v>
      </c>
      <c r="P63">
        <f t="shared" si="5"/>
        <v>1210986</v>
      </c>
    </row>
    <row r="64" spans="1:19">
      <c r="A64" t="s">
        <v>368</v>
      </c>
      <c r="B64" t="s">
        <v>414</v>
      </c>
      <c r="C64" t="s">
        <v>15</v>
      </c>
      <c r="D64" t="s">
        <v>16</v>
      </c>
      <c r="E64" t="s">
        <v>410</v>
      </c>
      <c r="F64" s="2">
        <v>4574000</v>
      </c>
      <c r="G64">
        <f>IF(F64="","",F64*Parameters!$B$1)</f>
        <v>960540</v>
      </c>
      <c r="H64" s="2">
        <v>1890000</v>
      </c>
      <c r="I64">
        <f>IF(H64="","",H64*Parameters!$B$1)</f>
        <v>396900</v>
      </c>
      <c r="J64">
        <f t="shared" ref="J64:J104" si="6">IF(OR(G64="",I64=""),"",G64+I64)</f>
        <v>1357440</v>
      </c>
      <c r="K64" s="2">
        <v>1252000</v>
      </c>
      <c r="L64">
        <f>IF(K64="","",K64*Parameters!$B$1)</f>
        <v>262920</v>
      </c>
      <c r="M64">
        <f t="shared" si="4"/>
        <v>1223460</v>
      </c>
      <c r="N64" s="2">
        <v>1192600</v>
      </c>
      <c r="O64">
        <f>IF(N64="","",N64*Parameters!$B$1)</f>
        <v>250446</v>
      </c>
      <c r="P64">
        <f t="shared" si="5"/>
        <v>1210986</v>
      </c>
    </row>
    <row r="65" spans="1:16">
      <c r="A65" t="s">
        <v>368</v>
      </c>
      <c r="B65" t="s">
        <v>415</v>
      </c>
      <c r="C65" t="s">
        <v>16</v>
      </c>
      <c r="D65" t="s">
        <v>16</v>
      </c>
      <c r="E65" t="s">
        <v>410</v>
      </c>
      <c r="F65" s="2">
        <v>4574000</v>
      </c>
      <c r="G65">
        <f>IF(F65="","",F65*Parameters!$B$1)</f>
        <v>960540</v>
      </c>
      <c r="H65" s="2">
        <v>1890000</v>
      </c>
      <c r="I65">
        <f>IF(H65="","",H65*Parameters!$B$1)</f>
        <v>396900</v>
      </c>
      <c r="J65">
        <f t="shared" si="6"/>
        <v>1357440</v>
      </c>
      <c r="K65" s="2">
        <v>1252000</v>
      </c>
      <c r="L65">
        <f>IF(K65="","",K65*Parameters!$B$1)</f>
        <v>262920</v>
      </c>
      <c r="M65">
        <f t="shared" si="4"/>
        <v>1223460</v>
      </c>
      <c r="N65" s="2">
        <v>1192600</v>
      </c>
      <c r="O65">
        <f>IF(N65="","",N65*Parameters!$B$1)</f>
        <v>250446</v>
      </c>
      <c r="P65">
        <f t="shared" si="5"/>
        <v>1210986</v>
      </c>
    </row>
    <row r="66" spans="1:16">
      <c r="A66" t="s">
        <v>368</v>
      </c>
      <c r="B66" t="s">
        <v>416</v>
      </c>
      <c r="C66" t="s">
        <v>15</v>
      </c>
      <c r="D66" t="s">
        <v>16</v>
      </c>
      <c r="E66" t="s">
        <v>410</v>
      </c>
      <c r="F66" s="2">
        <v>5442000</v>
      </c>
      <c r="G66">
        <f>IF(F66="","",F66*Parameters!$B$1)</f>
        <v>1142820</v>
      </c>
      <c r="H66" s="2">
        <v>1890000</v>
      </c>
      <c r="I66">
        <f>IF(H66="","",H66*Parameters!$B$1)</f>
        <v>396900</v>
      </c>
      <c r="J66">
        <f t="shared" si="6"/>
        <v>1539720</v>
      </c>
      <c r="K66" s="2">
        <v>1252000</v>
      </c>
      <c r="L66">
        <f>IF(K66="","",K66*Parameters!$B$1)</f>
        <v>262920</v>
      </c>
      <c r="M66">
        <f t="shared" si="4"/>
        <v>1405740</v>
      </c>
      <c r="N66" s="2">
        <v>1192600</v>
      </c>
      <c r="O66">
        <f>IF(N66="","",N66*Parameters!$B$1)</f>
        <v>250446</v>
      </c>
      <c r="P66">
        <f t="shared" si="5"/>
        <v>1393266</v>
      </c>
    </row>
    <row r="67" spans="1:16">
      <c r="A67" t="s">
        <v>368</v>
      </c>
      <c r="B67" t="s">
        <v>417</v>
      </c>
      <c r="C67" t="s">
        <v>15</v>
      </c>
      <c r="D67" t="s">
        <v>16</v>
      </c>
      <c r="E67" t="s">
        <v>410</v>
      </c>
      <c r="F67" s="2">
        <v>5442000</v>
      </c>
      <c r="G67">
        <f>IF(F67="","",F67*Parameters!$B$1)</f>
        <v>1142820</v>
      </c>
      <c r="H67" s="2">
        <v>1890000</v>
      </c>
      <c r="I67">
        <f>IF(H67="","",H67*Parameters!$B$1)</f>
        <v>396900</v>
      </c>
      <c r="J67">
        <f t="shared" si="6"/>
        <v>1539720</v>
      </c>
      <c r="K67" s="2">
        <v>1252000</v>
      </c>
      <c r="L67">
        <f>IF(K67="","",K67*Parameters!$B$1)</f>
        <v>262920</v>
      </c>
      <c r="M67">
        <f t="shared" si="4"/>
        <v>1405740</v>
      </c>
      <c r="N67" s="2">
        <v>1192600</v>
      </c>
      <c r="O67">
        <f>IF(N67="","",N67*Parameters!$B$1)</f>
        <v>250446</v>
      </c>
      <c r="P67">
        <f t="shared" si="5"/>
        <v>1393266</v>
      </c>
    </row>
    <row r="68" spans="1:16">
      <c r="A68" t="s">
        <v>368</v>
      </c>
      <c r="B68" t="s">
        <v>418</v>
      </c>
      <c r="C68" t="s">
        <v>15</v>
      </c>
      <c r="D68" t="s">
        <v>16</v>
      </c>
      <c r="E68" t="s">
        <v>410</v>
      </c>
      <c r="F68" s="2">
        <v>5442000</v>
      </c>
      <c r="G68">
        <f>IF(F68="","",F68*Parameters!$B$1)</f>
        <v>1142820</v>
      </c>
      <c r="H68" s="2">
        <v>1890000</v>
      </c>
      <c r="I68">
        <f>IF(H68="","",H68*Parameters!$B$1)</f>
        <v>396900</v>
      </c>
      <c r="J68">
        <f t="shared" si="6"/>
        <v>1539720</v>
      </c>
      <c r="K68" s="2">
        <v>1252000</v>
      </c>
      <c r="L68">
        <f>IF(K68="","",K68*Parameters!$B$1)</f>
        <v>262920</v>
      </c>
      <c r="M68">
        <f t="shared" si="4"/>
        <v>1405740</v>
      </c>
      <c r="N68" s="2">
        <v>1192600</v>
      </c>
      <c r="O68">
        <f>IF(N68="","",N68*Parameters!$B$1)</f>
        <v>250446</v>
      </c>
      <c r="P68">
        <f t="shared" si="5"/>
        <v>1393266</v>
      </c>
    </row>
    <row r="69" spans="1:16">
      <c r="A69" t="s">
        <v>368</v>
      </c>
      <c r="B69" t="s">
        <v>419</v>
      </c>
      <c r="C69" t="s">
        <v>15</v>
      </c>
      <c r="D69" t="s">
        <v>16</v>
      </c>
      <c r="E69" t="s">
        <v>410</v>
      </c>
      <c r="F69" s="2">
        <v>5442000</v>
      </c>
      <c r="G69">
        <f>IF(F69="","",F69*Parameters!$B$1)</f>
        <v>1142820</v>
      </c>
      <c r="H69" s="2">
        <v>1890000</v>
      </c>
      <c r="I69">
        <f>IF(H69="","",H69*Parameters!$B$1)</f>
        <v>396900</v>
      </c>
      <c r="J69">
        <f t="shared" si="6"/>
        <v>1539720</v>
      </c>
      <c r="K69" s="2">
        <v>1252000</v>
      </c>
      <c r="L69">
        <f>IF(K69="","",K69*Parameters!$B$1)</f>
        <v>262920</v>
      </c>
      <c r="M69">
        <f t="shared" si="4"/>
        <v>1405740</v>
      </c>
      <c r="N69" s="2">
        <v>1192600</v>
      </c>
      <c r="O69">
        <f>IF(N69="","",N69*Parameters!$B$1)</f>
        <v>250446</v>
      </c>
      <c r="P69">
        <f t="shared" si="5"/>
        <v>1393266</v>
      </c>
    </row>
    <row r="70" spans="1:16">
      <c r="A70" t="s">
        <v>368</v>
      </c>
      <c r="B70" t="s">
        <v>420</v>
      </c>
      <c r="C70" t="s">
        <v>15</v>
      </c>
      <c r="D70" t="s">
        <v>16</v>
      </c>
      <c r="E70" t="s">
        <v>410</v>
      </c>
      <c r="F70" s="2">
        <v>6317000</v>
      </c>
      <c r="G70">
        <f>IF(F70="","",F70*Parameters!$B$1)</f>
        <v>1326570</v>
      </c>
      <c r="H70" s="2">
        <v>1890000</v>
      </c>
      <c r="I70">
        <f>IF(H70="","",H70*Parameters!$B$1)</f>
        <v>396900</v>
      </c>
      <c r="J70">
        <f t="shared" si="6"/>
        <v>1723470</v>
      </c>
      <c r="K70" s="2">
        <v>1252000</v>
      </c>
      <c r="L70">
        <f>IF(K70="","",K70*Parameters!$B$1)</f>
        <v>262920</v>
      </c>
      <c r="M70">
        <f t="shared" si="4"/>
        <v>1589490</v>
      </c>
      <c r="N70" s="2">
        <v>1192600</v>
      </c>
      <c r="O70">
        <f>IF(N70="","",N70*Parameters!$B$1)</f>
        <v>250446</v>
      </c>
      <c r="P70">
        <f t="shared" si="5"/>
        <v>1577016</v>
      </c>
    </row>
    <row r="71" spans="1:16">
      <c r="A71" t="s">
        <v>368</v>
      </c>
      <c r="B71" t="s">
        <v>421</v>
      </c>
      <c r="C71" t="s">
        <v>15</v>
      </c>
      <c r="D71" t="s">
        <v>16</v>
      </c>
      <c r="E71" t="s">
        <v>410</v>
      </c>
      <c r="F71" s="2">
        <v>6317000</v>
      </c>
      <c r="G71">
        <f>IF(F71="","",F71*Parameters!$B$1)</f>
        <v>1326570</v>
      </c>
      <c r="H71" s="2">
        <v>1890000</v>
      </c>
      <c r="I71">
        <f>IF(H71="","",H71*Parameters!$B$1)</f>
        <v>396900</v>
      </c>
      <c r="J71">
        <f t="shared" si="6"/>
        <v>1723470</v>
      </c>
      <c r="K71" s="2">
        <v>1252000</v>
      </c>
      <c r="L71">
        <f>IF(K71="","",K71*Parameters!$B$1)</f>
        <v>262920</v>
      </c>
      <c r="M71">
        <f t="shared" si="4"/>
        <v>1589490</v>
      </c>
      <c r="N71" s="2">
        <v>1192600</v>
      </c>
      <c r="O71">
        <f>IF(N71="","",N71*Parameters!$B$1)</f>
        <v>250446</v>
      </c>
      <c r="P71">
        <f t="shared" si="5"/>
        <v>1577016</v>
      </c>
    </row>
    <row r="72" spans="1:16">
      <c r="A72" t="s">
        <v>368</v>
      </c>
      <c r="B72" t="s">
        <v>399</v>
      </c>
      <c r="C72" t="s">
        <v>15</v>
      </c>
      <c r="D72" t="s">
        <v>16</v>
      </c>
      <c r="E72" t="s">
        <v>410</v>
      </c>
      <c r="F72" s="2">
        <v>6317000</v>
      </c>
      <c r="G72">
        <f>IF(F72="","",F72*Parameters!$B$1)</f>
        <v>1326570</v>
      </c>
      <c r="H72" s="2">
        <v>1890000</v>
      </c>
      <c r="I72">
        <f>IF(H72="","",H72*Parameters!$B$1)</f>
        <v>396900</v>
      </c>
      <c r="J72">
        <f t="shared" si="6"/>
        <v>1723470</v>
      </c>
      <c r="K72" s="2">
        <v>1252000</v>
      </c>
      <c r="L72">
        <f>IF(K72="","",K72*Parameters!$B$1)</f>
        <v>262920</v>
      </c>
      <c r="M72">
        <f t="shared" si="4"/>
        <v>1589490</v>
      </c>
      <c r="N72" s="2">
        <v>1192600</v>
      </c>
      <c r="O72">
        <f>IF(N72="","",N72*Parameters!$B$1)</f>
        <v>250446</v>
      </c>
      <c r="P72">
        <f t="shared" si="5"/>
        <v>1577016</v>
      </c>
    </row>
    <row r="73" spans="1:16">
      <c r="A73" t="s">
        <v>368</v>
      </c>
      <c r="B73" t="s">
        <v>406</v>
      </c>
      <c r="C73" t="s">
        <v>15</v>
      </c>
      <c r="D73" t="s">
        <v>16</v>
      </c>
      <c r="E73" t="s">
        <v>410</v>
      </c>
      <c r="F73" s="2">
        <v>6317000</v>
      </c>
      <c r="G73">
        <f>IF(F73="","",F73*Parameters!$B$1)</f>
        <v>1326570</v>
      </c>
      <c r="H73" s="2">
        <v>1890000</v>
      </c>
      <c r="I73">
        <f>IF(H73="","",H73*Parameters!$B$1)</f>
        <v>396900</v>
      </c>
      <c r="J73">
        <f t="shared" si="6"/>
        <v>1723470</v>
      </c>
      <c r="K73" s="2">
        <v>1252000</v>
      </c>
      <c r="L73">
        <f>IF(K73="","",K73*Parameters!$B$1)</f>
        <v>262920</v>
      </c>
      <c r="M73">
        <f t="shared" si="4"/>
        <v>1589490</v>
      </c>
      <c r="N73" s="2">
        <v>1192600</v>
      </c>
      <c r="O73">
        <f>IF(N73="","",N73*Parameters!$B$1)</f>
        <v>250446</v>
      </c>
      <c r="P73">
        <f t="shared" si="5"/>
        <v>1577016</v>
      </c>
    </row>
    <row r="74" spans="1:16">
      <c r="A74" t="s">
        <v>368</v>
      </c>
      <c r="B74" t="s">
        <v>422</v>
      </c>
      <c r="C74" t="s">
        <v>15</v>
      </c>
      <c r="D74" t="s">
        <v>16</v>
      </c>
      <c r="E74" t="s">
        <v>410</v>
      </c>
      <c r="F74" s="2">
        <v>6317000</v>
      </c>
      <c r="G74">
        <f>IF(F74="","",F74*Parameters!$B$1)</f>
        <v>1326570</v>
      </c>
      <c r="H74" s="2">
        <v>1890000</v>
      </c>
      <c r="I74">
        <f>IF(H74="","",H74*Parameters!$B$1)</f>
        <v>396900</v>
      </c>
      <c r="J74">
        <f t="shared" si="6"/>
        <v>1723470</v>
      </c>
      <c r="K74" s="2">
        <v>1252000</v>
      </c>
      <c r="L74">
        <f>IF(K74="","",K74*Parameters!$B$1)</f>
        <v>262920</v>
      </c>
      <c r="M74">
        <f t="shared" si="4"/>
        <v>1589490</v>
      </c>
      <c r="N74" s="2">
        <v>1192600</v>
      </c>
      <c r="O74">
        <f>IF(N74="","",N74*Parameters!$B$1)</f>
        <v>250446</v>
      </c>
      <c r="P74">
        <f t="shared" si="5"/>
        <v>1577016</v>
      </c>
    </row>
    <row r="75" spans="1:16">
      <c r="A75" t="s">
        <v>368</v>
      </c>
      <c r="B75" t="s">
        <v>423</v>
      </c>
      <c r="C75" t="s">
        <v>15</v>
      </c>
      <c r="D75" t="s">
        <v>16</v>
      </c>
      <c r="E75" t="s">
        <v>410</v>
      </c>
      <c r="F75" s="2">
        <v>6317000</v>
      </c>
      <c r="G75">
        <f>IF(F75="","",F75*Parameters!$B$1)</f>
        <v>1326570</v>
      </c>
      <c r="H75" s="2">
        <v>1890000</v>
      </c>
      <c r="I75">
        <f>IF(H75="","",H75*Parameters!$B$1)</f>
        <v>396900</v>
      </c>
      <c r="J75">
        <f t="shared" si="6"/>
        <v>1723470</v>
      </c>
      <c r="K75" s="2">
        <v>1252000</v>
      </c>
      <c r="L75">
        <f>IF(K75="","",K75*Parameters!$B$1)</f>
        <v>262920</v>
      </c>
      <c r="M75">
        <f t="shared" si="4"/>
        <v>1589490</v>
      </c>
      <c r="N75" s="2">
        <v>1192600</v>
      </c>
      <c r="O75">
        <f>IF(N75="","",N75*Parameters!$B$1)</f>
        <v>250446</v>
      </c>
      <c r="P75">
        <f t="shared" si="5"/>
        <v>1577016</v>
      </c>
    </row>
    <row r="76" spans="1:16">
      <c r="A76" t="s">
        <v>368</v>
      </c>
      <c r="B76" t="s">
        <v>424</v>
      </c>
      <c r="C76" t="s">
        <v>15</v>
      </c>
      <c r="D76" t="s">
        <v>16</v>
      </c>
      <c r="E76" t="s">
        <v>410</v>
      </c>
      <c r="F76" s="2">
        <v>6317000</v>
      </c>
      <c r="G76">
        <f>IF(F76="","",F76*Parameters!$B$1)</f>
        <v>1326570</v>
      </c>
      <c r="H76" s="2">
        <v>1890000</v>
      </c>
      <c r="I76">
        <f>IF(H76="","",H76*Parameters!$B$1)</f>
        <v>396900</v>
      </c>
      <c r="J76">
        <f t="shared" si="6"/>
        <v>1723470</v>
      </c>
      <c r="K76" s="2">
        <v>1252000</v>
      </c>
      <c r="L76">
        <f>IF(K76="","",K76*Parameters!$B$1)</f>
        <v>262920</v>
      </c>
      <c r="M76">
        <f t="shared" si="4"/>
        <v>1589490</v>
      </c>
      <c r="N76" s="2">
        <v>1192600</v>
      </c>
      <c r="O76">
        <f>IF(N76="","",N76*Parameters!$B$1)</f>
        <v>250446</v>
      </c>
      <c r="P76">
        <f t="shared" si="5"/>
        <v>1577016</v>
      </c>
    </row>
    <row r="77" spans="1:16">
      <c r="A77" t="s">
        <v>368</v>
      </c>
      <c r="B77" t="s">
        <v>425</v>
      </c>
      <c r="C77" t="s">
        <v>15</v>
      </c>
      <c r="D77" t="s">
        <v>16</v>
      </c>
      <c r="E77" t="s">
        <v>410</v>
      </c>
      <c r="F77" s="2">
        <v>6317000</v>
      </c>
      <c r="G77">
        <f>IF(F77="","",F77*Parameters!$B$1)</f>
        <v>1326570</v>
      </c>
      <c r="H77" s="2">
        <v>1890000</v>
      </c>
      <c r="I77">
        <f>IF(H77="","",H77*Parameters!$B$1)</f>
        <v>396900</v>
      </c>
      <c r="J77">
        <f t="shared" si="6"/>
        <v>1723470</v>
      </c>
      <c r="K77" s="2">
        <v>1252000</v>
      </c>
      <c r="L77">
        <f>IF(K77="","",K77*Parameters!$B$1)</f>
        <v>262920</v>
      </c>
      <c r="M77">
        <f t="shared" si="4"/>
        <v>1589490</v>
      </c>
      <c r="N77" s="2">
        <v>1192600</v>
      </c>
      <c r="O77">
        <f>IF(N77="","",N77*Parameters!$B$1)</f>
        <v>250446</v>
      </c>
      <c r="P77">
        <f t="shared" si="5"/>
        <v>1577016</v>
      </c>
    </row>
    <row r="78" spans="1:16">
      <c r="A78" t="s">
        <v>368</v>
      </c>
      <c r="B78" t="s">
        <v>426</v>
      </c>
      <c r="C78" t="s">
        <v>15</v>
      </c>
      <c r="D78" t="s">
        <v>16</v>
      </c>
      <c r="E78" t="s">
        <v>410</v>
      </c>
      <c r="F78" s="2">
        <v>6317000</v>
      </c>
      <c r="G78">
        <f>IF(F78="","",F78*Parameters!$B$1)</f>
        <v>1326570</v>
      </c>
      <c r="H78" s="2">
        <v>1890000</v>
      </c>
      <c r="I78">
        <f>IF(H78="","",H78*Parameters!$B$1)</f>
        <v>396900</v>
      </c>
      <c r="J78">
        <f t="shared" si="6"/>
        <v>1723470</v>
      </c>
      <c r="K78" s="2">
        <v>1252000</v>
      </c>
      <c r="L78">
        <f>IF(K78="","",K78*Parameters!$B$1)</f>
        <v>262920</v>
      </c>
      <c r="M78">
        <f t="shared" si="4"/>
        <v>1589490</v>
      </c>
      <c r="N78" s="2">
        <v>1192600</v>
      </c>
      <c r="O78">
        <f>IF(N78="","",N78*Parameters!$B$1)</f>
        <v>250446</v>
      </c>
      <c r="P78">
        <f t="shared" si="5"/>
        <v>1577016</v>
      </c>
    </row>
    <row r="79" spans="1:16">
      <c r="A79" t="s">
        <v>368</v>
      </c>
      <c r="B79" t="s">
        <v>427</v>
      </c>
      <c r="C79" t="s">
        <v>15</v>
      </c>
      <c r="D79" t="s">
        <v>16</v>
      </c>
      <c r="E79" t="s">
        <v>410</v>
      </c>
      <c r="F79" s="2">
        <v>6317000</v>
      </c>
      <c r="G79">
        <f>IF(F79="","",F79*Parameters!$B$1)</f>
        <v>1326570</v>
      </c>
      <c r="H79" s="2">
        <v>1890000</v>
      </c>
      <c r="I79">
        <f>IF(H79="","",H79*Parameters!$B$1)</f>
        <v>396900</v>
      </c>
      <c r="J79">
        <f t="shared" si="6"/>
        <v>1723470</v>
      </c>
      <c r="K79" s="2">
        <v>1252000</v>
      </c>
      <c r="L79">
        <f>IF(K79="","",K79*Parameters!$B$1)</f>
        <v>262920</v>
      </c>
      <c r="M79">
        <f t="shared" si="4"/>
        <v>1589490</v>
      </c>
      <c r="N79" s="2">
        <v>1192600</v>
      </c>
      <c r="O79">
        <f>IF(N79="","",N79*Parameters!$B$1)</f>
        <v>250446</v>
      </c>
      <c r="P79">
        <f t="shared" si="5"/>
        <v>1577016</v>
      </c>
    </row>
    <row r="80" spans="1:16">
      <c r="A80" t="s">
        <v>368</v>
      </c>
      <c r="B80" t="s">
        <v>428</v>
      </c>
      <c r="C80" t="s">
        <v>15</v>
      </c>
      <c r="D80" t="s">
        <v>16</v>
      </c>
      <c r="E80" t="s">
        <v>410</v>
      </c>
      <c r="F80" s="2">
        <v>5442000</v>
      </c>
      <c r="G80">
        <f>IF(F80="","",F80*Parameters!$B$1)</f>
        <v>1142820</v>
      </c>
      <c r="H80" s="2">
        <v>1890000</v>
      </c>
      <c r="I80">
        <f>IF(H80="","",H80*Parameters!$B$1)</f>
        <v>396900</v>
      </c>
      <c r="J80">
        <f t="shared" si="6"/>
        <v>1539720</v>
      </c>
      <c r="K80" s="2">
        <v>1252000</v>
      </c>
      <c r="L80">
        <f>IF(K80="","",K80*Parameters!$B$1)</f>
        <v>262920</v>
      </c>
      <c r="M80">
        <f t="shared" si="4"/>
        <v>1405740</v>
      </c>
      <c r="N80" s="2">
        <v>1192600</v>
      </c>
      <c r="O80">
        <f>IF(N80="","",N80*Parameters!$B$1)</f>
        <v>250446</v>
      </c>
      <c r="P80">
        <f t="shared" si="5"/>
        <v>1393266</v>
      </c>
    </row>
    <row r="81" spans="1:16">
      <c r="A81" t="s">
        <v>368</v>
      </c>
      <c r="B81" t="s">
        <v>429</v>
      </c>
      <c r="C81" t="s">
        <v>15</v>
      </c>
      <c r="D81" t="s">
        <v>16</v>
      </c>
      <c r="E81" t="s">
        <v>410</v>
      </c>
      <c r="F81" s="2">
        <v>5442000</v>
      </c>
      <c r="G81">
        <f>IF(F81="","",F81*Parameters!$B$1)</f>
        <v>1142820</v>
      </c>
      <c r="H81" s="2">
        <v>1890000</v>
      </c>
      <c r="I81">
        <f>IF(H81="","",H81*Parameters!$B$1)</f>
        <v>396900</v>
      </c>
      <c r="J81">
        <f t="shared" si="6"/>
        <v>1539720</v>
      </c>
      <c r="K81" s="2">
        <v>1252000</v>
      </c>
      <c r="L81">
        <f>IF(K81="","",K81*Parameters!$B$1)</f>
        <v>262920</v>
      </c>
      <c r="M81">
        <f t="shared" si="4"/>
        <v>1405740</v>
      </c>
      <c r="N81" s="2">
        <v>1192600</v>
      </c>
      <c r="O81">
        <f>IF(N81="","",N81*Parameters!$B$1)</f>
        <v>250446</v>
      </c>
      <c r="P81">
        <f t="shared" si="5"/>
        <v>1393266</v>
      </c>
    </row>
    <row r="82" spans="1:16" s="10" customFormat="1">
      <c r="A82" s="16" t="s">
        <v>65</v>
      </c>
      <c r="E82" s="10" t="s">
        <v>408</v>
      </c>
      <c r="F82" s="10">
        <v>650000</v>
      </c>
      <c r="G82" s="10">
        <f>IF(F82="","",F82*Parameters!$B$1)</f>
        <v>136500</v>
      </c>
      <c r="H82" s="11"/>
      <c r="J82" s="10" t="str">
        <f t="shared" si="6"/>
        <v/>
      </c>
      <c r="K82" s="11"/>
      <c r="L82" s="10" t="str">
        <f>IF(K82="","",K82*Parameters!$B$1)</f>
        <v/>
      </c>
      <c r="M82" s="10" t="str">
        <f t="shared" si="4"/>
        <v/>
      </c>
      <c r="N82" s="11"/>
      <c r="P82" s="10" t="str">
        <f t="shared" si="5"/>
        <v/>
      </c>
    </row>
    <row r="83" spans="1:16">
      <c r="A83" t="s">
        <v>368</v>
      </c>
      <c r="B83" t="s">
        <v>41</v>
      </c>
      <c r="C83" t="s">
        <v>15</v>
      </c>
      <c r="D83" t="s">
        <v>16</v>
      </c>
      <c r="E83" t="s">
        <v>65</v>
      </c>
      <c r="F83" s="2">
        <v>4775000</v>
      </c>
      <c r="G83">
        <f>IF(F83="","",F83*Parameters!$B$1)</f>
        <v>1002750</v>
      </c>
      <c r="H83" s="2">
        <v>1890000</v>
      </c>
      <c r="I83">
        <f>IF(H83="","",H83*Parameters!$B$1)</f>
        <v>396900</v>
      </c>
      <c r="J83">
        <f t="shared" si="6"/>
        <v>1399650</v>
      </c>
      <c r="K83" s="2">
        <v>1252000</v>
      </c>
      <c r="L83">
        <f>IF(K83="","",K83*Parameters!$B$1)</f>
        <v>262920</v>
      </c>
      <c r="M83">
        <f t="shared" si="4"/>
        <v>1265670</v>
      </c>
      <c r="N83" s="2">
        <v>1192600</v>
      </c>
      <c r="O83">
        <f>IF(N83="","",N83*Parameters!$B$1)</f>
        <v>250446</v>
      </c>
      <c r="P83">
        <f t="shared" si="5"/>
        <v>1253196</v>
      </c>
    </row>
    <row r="84" spans="1:16">
      <c r="A84" t="s">
        <v>368</v>
      </c>
      <c r="B84" t="s">
        <v>56</v>
      </c>
      <c r="C84" t="s">
        <v>15</v>
      </c>
      <c r="D84" t="s">
        <v>16</v>
      </c>
      <c r="E84" t="s">
        <v>65</v>
      </c>
      <c r="F84" s="2">
        <v>4775000</v>
      </c>
      <c r="G84">
        <f>IF(F84="","",F84*Parameters!$B$1)</f>
        <v>1002750</v>
      </c>
      <c r="H84" s="2">
        <v>1890000</v>
      </c>
      <c r="I84">
        <f>IF(H84="","",H84*Parameters!$B$1)</f>
        <v>396900</v>
      </c>
      <c r="J84">
        <f t="shared" si="6"/>
        <v>1399650</v>
      </c>
      <c r="K84" s="2">
        <v>1252000</v>
      </c>
      <c r="L84">
        <f>IF(K84="","",K84*Parameters!$B$1)</f>
        <v>262920</v>
      </c>
      <c r="M84">
        <f t="shared" ref="M84:M104" si="7">IF(OR(G84="",L84=""),"",G84+L84)</f>
        <v>1265670</v>
      </c>
      <c r="N84" s="2">
        <v>1192600</v>
      </c>
      <c r="O84">
        <f>IF(N84="","",N84*Parameters!$B$1)</f>
        <v>250446</v>
      </c>
      <c r="P84">
        <f t="shared" ref="P84:P104" si="8">IF(OR(G84="",O84=""),"",G84+O84)</f>
        <v>1253196</v>
      </c>
    </row>
    <row r="85" spans="1:16">
      <c r="A85" t="s">
        <v>368</v>
      </c>
      <c r="B85" t="s">
        <v>178</v>
      </c>
      <c r="C85" t="s">
        <v>15</v>
      </c>
      <c r="D85" t="s">
        <v>16</v>
      </c>
      <c r="E85" t="s">
        <v>65</v>
      </c>
      <c r="F85" s="2">
        <v>4775000</v>
      </c>
      <c r="G85">
        <f>IF(F85="","",F85*Parameters!$B$1)</f>
        <v>1002750</v>
      </c>
      <c r="H85" s="2">
        <v>1890000</v>
      </c>
      <c r="I85">
        <f>IF(H85="","",H85*Parameters!$B$1)</f>
        <v>396900</v>
      </c>
      <c r="J85">
        <f t="shared" si="6"/>
        <v>1399650</v>
      </c>
      <c r="K85" s="2">
        <v>1252000</v>
      </c>
      <c r="L85">
        <f>IF(K85="","",K85*Parameters!$B$1)</f>
        <v>262920</v>
      </c>
      <c r="M85">
        <f t="shared" si="7"/>
        <v>1265670</v>
      </c>
      <c r="N85" s="2">
        <v>1192600</v>
      </c>
      <c r="O85">
        <f>IF(N85="","",N85*Parameters!$B$1)</f>
        <v>250446</v>
      </c>
      <c r="P85">
        <f t="shared" si="8"/>
        <v>1253196</v>
      </c>
    </row>
    <row r="86" spans="1:16">
      <c r="A86" t="s">
        <v>368</v>
      </c>
      <c r="B86" t="s">
        <v>180</v>
      </c>
      <c r="C86" t="s">
        <v>15</v>
      </c>
      <c r="D86" t="s">
        <v>16</v>
      </c>
      <c r="E86" t="s">
        <v>65</v>
      </c>
      <c r="F86" s="2">
        <v>4775000</v>
      </c>
      <c r="G86">
        <f>IF(F86="","",F86*Parameters!$B$1)</f>
        <v>1002750</v>
      </c>
      <c r="H86" s="2">
        <v>1890000</v>
      </c>
      <c r="I86">
        <f>IF(H86="","",H86*Parameters!$B$1)</f>
        <v>396900</v>
      </c>
      <c r="J86">
        <f t="shared" si="6"/>
        <v>1399650</v>
      </c>
      <c r="K86" s="2">
        <v>1252000</v>
      </c>
      <c r="L86">
        <f>IF(K86="","",K86*Parameters!$B$1)</f>
        <v>262920</v>
      </c>
      <c r="M86">
        <f t="shared" si="7"/>
        <v>1265670</v>
      </c>
      <c r="N86" s="2">
        <v>1192600</v>
      </c>
      <c r="O86">
        <f>IF(N86="","",N86*Parameters!$B$1)</f>
        <v>250446</v>
      </c>
      <c r="P86">
        <f t="shared" si="8"/>
        <v>1253196</v>
      </c>
    </row>
    <row r="87" spans="1:16">
      <c r="A87" t="s">
        <v>368</v>
      </c>
      <c r="B87" t="s">
        <v>379</v>
      </c>
      <c r="C87" t="s">
        <v>15</v>
      </c>
      <c r="D87" t="s">
        <v>16</v>
      </c>
      <c r="E87" t="s">
        <v>65</v>
      </c>
      <c r="F87" s="2">
        <v>4775000</v>
      </c>
      <c r="G87">
        <f>IF(F87="","",F87*Parameters!$B$1)</f>
        <v>1002750</v>
      </c>
      <c r="H87" s="2">
        <v>1890000</v>
      </c>
      <c r="I87">
        <f>IF(H87="","",H87*Parameters!$B$1)</f>
        <v>396900</v>
      </c>
      <c r="J87">
        <f t="shared" si="6"/>
        <v>1399650</v>
      </c>
      <c r="K87" s="2">
        <v>1252000</v>
      </c>
      <c r="L87">
        <f>IF(K87="","",K87*Parameters!$B$1)</f>
        <v>262920</v>
      </c>
      <c r="M87">
        <f t="shared" si="7"/>
        <v>1265670</v>
      </c>
      <c r="N87" s="2">
        <v>1192600</v>
      </c>
      <c r="O87">
        <f>IF(N87="","",N87*Parameters!$B$1)</f>
        <v>250446</v>
      </c>
      <c r="P87">
        <f t="shared" si="8"/>
        <v>1253196</v>
      </c>
    </row>
    <row r="88" spans="1:16">
      <c r="A88" t="s">
        <v>368</v>
      </c>
      <c r="B88" t="s">
        <v>411</v>
      </c>
      <c r="C88" t="s">
        <v>15</v>
      </c>
      <c r="D88" t="s">
        <v>16</v>
      </c>
      <c r="E88" t="s">
        <v>65</v>
      </c>
      <c r="F88" s="2">
        <v>4775000</v>
      </c>
      <c r="G88">
        <f>IF(F88="","",F88*Parameters!$B$1)</f>
        <v>1002750</v>
      </c>
      <c r="H88" s="2">
        <v>1890000</v>
      </c>
      <c r="I88">
        <f>IF(H88="","",H88*Parameters!$B$1)</f>
        <v>396900</v>
      </c>
      <c r="J88">
        <f t="shared" si="6"/>
        <v>1399650</v>
      </c>
      <c r="K88" s="2">
        <v>1252000</v>
      </c>
      <c r="L88">
        <f>IF(K88="","",K88*Parameters!$B$1)</f>
        <v>262920</v>
      </c>
      <c r="M88">
        <f t="shared" si="7"/>
        <v>1265670</v>
      </c>
      <c r="N88" s="2">
        <v>1192600</v>
      </c>
      <c r="O88">
        <f>IF(N88="","",N88*Parameters!$B$1)</f>
        <v>250446</v>
      </c>
      <c r="P88">
        <f t="shared" si="8"/>
        <v>1253196</v>
      </c>
    </row>
    <row r="89" spans="1:16">
      <c r="A89" t="s">
        <v>368</v>
      </c>
      <c r="B89" t="s">
        <v>412</v>
      </c>
      <c r="C89" t="s">
        <v>15</v>
      </c>
      <c r="D89" t="s">
        <v>16</v>
      </c>
      <c r="E89" t="s">
        <v>65</v>
      </c>
      <c r="F89" s="2">
        <v>4775000</v>
      </c>
      <c r="G89">
        <f>IF(F89="","",F89*Parameters!$B$1)</f>
        <v>1002750</v>
      </c>
      <c r="H89" s="2">
        <v>1890000</v>
      </c>
      <c r="I89">
        <f>IF(H89="","",H89*Parameters!$B$1)</f>
        <v>396900</v>
      </c>
      <c r="J89">
        <f t="shared" si="6"/>
        <v>1399650</v>
      </c>
      <c r="K89" s="2">
        <v>1252000</v>
      </c>
      <c r="L89">
        <f>IF(K89="","",K89*Parameters!$B$1)</f>
        <v>262920</v>
      </c>
      <c r="M89">
        <f t="shared" si="7"/>
        <v>1265670</v>
      </c>
      <c r="N89" s="2">
        <v>1192600</v>
      </c>
      <c r="O89">
        <f>IF(N89="","",N89*Parameters!$B$1)</f>
        <v>250446</v>
      </c>
      <c r="P89">
        <f t="shared" si="8"/>
        <v>1253196</v>
      </c>
    </row>
    <row r="90" spans="1:16">
      <c r="A90" t="s">
        <v>368</v>
      </c>
      <c r="B90" t="s">
        <v>413</v>
      </c>
      <c r="C90" t="s">
        <v>15</v>
      </c>
      <c r="D90" t="s">
        <v>16</v>
      </c>
      <c r="E90" t="s">
        <v>65</v>
      </c>
      <c r="F90" s="2">
        <v>4775000</v>
      </c>
      <c r="G90">
        <f>IF(F90="","",F90*Parameters!$B$1)</f>
        <v>1002750</v>
      </c>
      <c r="H90" s="2">
        <v>1890000</v>
      </c>
      <c r="I90">
        <f>IF(H90="","",H90*Parameters!$B$1)</f>
        <v>396900</v>
      </c>
      <c r="J90">
        <f t="shared" si="6"/>
        <v>1399650</v>
      </c>
      <c r="K90" s="2">
        <v>1252000</v>
      </c>
      <c r="L90">
        <f>IF(K90="","",K90*Parameters!$B$1)</f>
        <v>262920</v>
      </c>
      <c r="M90">
        <f t="shared" si="7"/>
        <v>1265670</v>
      </c>
      <c r="N90" s="2">
        <v>1192600</v>
      </c>
      <c r="O90">
        <f>IF(N90="","",N90*Parameters!$B$1)</f>
        <v>250446</v>
      </c>
      <c r="P90">
        <f t="shared" si="8"/>
        <v>1253196</v>
      </c>
    </row>
    <row r="91" spans="1:16">
      <c r="A91" t="s">
        <v>368</v>
      </c>
      <c r="B91" t="s">
        <v>375</v>
      </c>
      <c r="C91" t="s">
        <v>15</v>
      </c>
      <c r="D91" t="s">
        <v>16</v>
      </c>
      <c r="E91" t="s">
        <v>65</v>
      </c>
      <c r="F91" s="2">
        <v>4775000</v>
      </c>
      <c r="G91">
        <f>IF(F91="","",F91*Parameters!$B$1)</f>
        <v>1002750</v>
      </c>
      <c r="H91" s="2">
        <v>1890000</v>
      </c>
      <c r="I91">
        <f>IF(H91="","",H91*Parameters!$B$1)</f>
        <v>396900</v>
      </c>
      <c r="J91">
        <f t="shared" si="6"/>
        <v>1399650</v>
      </c>
      <c r="K91" s="2">
        <v>1252000</v>
      </c>
      <c r="L91">
        <f>IF(K91="","",K91*Parameters!$B$1)</f>
        <v>262920</v>
      </c>
      <c r="M91">
        <f t="shared" si="7"/>
        <v>1265670</v>
      </c>
      <c r="N91" s="2">
        <v>1192600</v>
      </c>
      <c r="O91">
        <f>IF(N91="","",N91*Parameters!$B$1)</f>
        <v>250446</v>
      </c>
      <c r="P91">
        <f t="shared" si="8"/>
        <v>1253196</v>
      </c>
    </row>
    <row r="92" spans="1:16">
      <c r="A92" t="s">
        <v>368</v>
      </c>
      <c r="B92" t="s">
        <v>430</v>
      </c>
      <c r="C92" t="s">
        <v>15</v>
      </c>
      <c r="D92" t="s">
        <v>16</v>
      </c>
      <c r="E92" t="s">
        <v>65</v>
      </c>
      <c r="F92" s="2">
        <v>4775000</v>
      </c>
      <c r="G92">
        <f>IF(F92="","",F92*Parameters!$B$1)</f>
        <v>1002750</v>
      </c>
      <c r="H92" s="2">
        <v>1890000</v>
      </c>
      <c r="I92">
        <f>IF(H92="","",H92*Parameters!$B$1)</f>
        <v>396900</v>
      </c>
      <c r="J92">
        <f t="shared" si="6"/>
        <v>1399650</v>
      </c>
      <c r="K92" s="2">
        <v>1252000</v>
      </c>
      <c r="L92">
        <f>IF(K92="","",K92*Parameters!$B$1)</f>
        <v>262920</v>
      </c>
      <c r="M92">
        <f t="shared" si="7"/>
        <v>1265670</v>
      </c>
      <c r="N92" s="2">
        <v>1192600</v>
      </c>
      <c r="O92">
        <f>IF(N92="","",N92*Parameters!$B$1)</f>
        <v>250446</v>
      </c>
      <c r="P92">
        <f t="shared" si="8"/>
        <v>1253196</v>
      </c>
    </row>
    <row r="93" spans="1:16">
      <c r="A93" t="s">
        <v>368</v>
      </c>
      <c r="B93" t="s">
        <v>414</v>
      </c>
      <c r="C93" t="s">
        <v>15</v>
      </c>
      <c r="D93" t="s">
        <v>16</v>
      </c>
      <c r="E93" t="s">
        <v>65</v>
      </c>
      <c r="F93" s="2">
        <v>4775000</v>
      </c>
      <c r="G93">
        <f>IF(F93="","",F93*Parameters!$B$1)</f>
        <v>1002750</v>
      </c>
      <c r="H93" s="2">
        <v>1890000</v>
      </c>
      <c r="I93">
        <f>IF(H93="","",H93*Parameters!$B$1)</f>
        <v>396900</v>
      </c>
      <c r="J93">
        <f t="shared" si="6"/>
        <v>1399650</v>
      </c>
      <c r="K93" s="2">
        <v>1252000</v>
      </c>
      <c r="L93">
        <f>IF(K93="","",K93*Parameters!$B$1)</f>
        <v>262920</v>
      </c>
      <c r="M93">
        <f t="shared" si="7"/>
        <v>1265670</v>
      </c>
      <c r="N93" s="2">
        <v>1192600</v>
      </c>
      <c r="O93">
        <f>IF(N93="","",N93*Parameters!$B$1)</f>
        <v>250446</v>
      </c>
      <c r="P93">
        <f t="shared" si="8"/>
        <v>1253196</v>
      </c>
    </row>
    <row r="94" spans="1:16">
      <c r="A94" t="s">
        <v>368</v>
      </c>
      <c r="B94" t="s">
        <v>431</v>
      </c>
      <c r="C94" t="s">
        <v>16</v>
      </c>
      <c r="D94" t="s">
        <v>15</v>
      </c>
      <c r="E94" t="s">
        <v>65</v>
      </c>
      <c r="F94" s="2">
        <v>4775000</v>
      </c>
      <c r="G94">
        <f>IF(F94="","",F94*Parameters!$B$1)</f>
        <v>1002750</v>
      </c>
      <c r="H94" s="2">
        <v>1890000</v>
      </c>
      <c r="I94">
        <f>IF(H94="","",H94*Parameters!$B$1)</f>
        <v>396900</v>
      </c>
      <c r="J94">
        <f t="shared" si="6"/>
        <v>1399650</v>
      </c>
      <c r="K94" s="2">
        <v>1252000</v>
      </c>
      <c r="L94">
        <f>IF(K94="","",K94*Parameters!$B$1)</f>
        <v>262920</v>
      </c>
      <c r="M94">
        <f t="shared" si="7"/>
        <v>1265670</v>
      </c>
      <c r="N94" s="2">
        <v>1192600</v>
      </c>
      <c r="O94">
        <f>IF(N94="","",N94*Parameters!$B$1)</f>
        <v>250446</v>
      </c>
      <c r="P94">
        <f t="shared" si="8"/>
        <v>1253196</v>
      </c>
    </row>
    <row r="95" spans="1:16">
      <c r="A95" t="s">
        <v>368</v>
      </c>
      <c r="B95" t="s">
        <v>432</v>
      </c>
      <c r="C95" t="s">
        <v>15</v>
      </c>
      <c r="D95" t="s">
        <v>16</v>
      </c>
      <c r="E95" t="s">
        <v>65</v>
      </c>
      <c r="F95" s="2">
        <v>4775000</v>
      </c>
      <c r="G95">
        <f>IF(F95="","",F95*Parameters!$B$1)</f>
        <v>1002750</v>
      </c>
      <c r="H95" s="2">
        <v>1890000</v>
      </c>
      <c r="I95">
        <f>IF(H95="","",H95*Parameters!$B$1)</f>
        <v>396900</v>
      </c>
      <c r="J95">
        <f t="shared" si="6"/>
        <v>1399650</v>
      </c>
      <c r="K95" s="2">
        <v>1252000</v>
      </c>
      <c r="L95">
        <f>IF(K95="","",K95*Parameters!$B$1)</f>
        <v>262920</v>
      </c>
      <c r="M95">
        <f t="shared" si="7"/>
        <v>1265670</v>
      </c>
      <c r="N95" s="2">
        <v>1192600</v>
      </c>
      <c r="O95">
        <f>IF(N95="","",N95*Parameters!$B$1)</f>
        <v>250446</v>
      </c>
      <c r="P95">
        <f t="shared" si="8"/>
        <v>1253196</v>
      </c>
    </row>
    <row r="96" spans="1:16">
      <c r="A96" t="s">
        <v>368</v>
      </c>
      <c r="B96" t="s">
        <v>433</v>
      </c>
      <c r="C96" t="s">
        <v>15</v>
      </c>
      <c r="D96" t="s">
        <v>16</v>
      </c>
      <c r="E96" t="s">
        <v>65</v>
      </c>
      <c r="F96" s="2">
        <v>4775000</v>
      </c>
      <c r="G96">
        <f>IF(F96="","",F96*Parameters!$B$1)</f>
        <v>1002750</v>
      </c>
      <c r="H96" s="2">
        <v>1890000</v>
      </c>
      <c r="I96">
        <f>IF(H96="","",H96*Parameters!$B$1)</f>
        <v>396900</v>
      </c>
      <c r="J96">
        <f t="shared" si="6"/>
        <v>1399650</v>
      </c>
      <c r="K96" s="2">
        <v>1252000</v>
      </c>
      <c r="L96">
        <f>IF(K96="","",K96*Parameters!$B$1)</f>
        <v>262920</v>
      </c>
      <c r="M96">
        <f t="shared" si="7"/>
        <v>1265670</v>
      </c>
      <c r="N96" s="2">
        <v>1192600</v>
      </c>
      <c r="O96">
        <f>IF(N96="","",N96*Parameters!$B$1)</f>
        <v>250446</v>
      </c>
      <c r="P96">
        <f t="shared" si="8"/>
        <v>1253196</v>
      </c>
    </row>
    <row r="97" spans="1:16">
      <c r="A97" t="s">
        <v>368</v>
      </c>
      <c r="B97" t="s">
        <v>416</v>
      </c>
      <c r="C97" t="s">
        <v>15</v>
      </c>
      <c r="D97" t="s">
        <v>16</v>
      </c>
      <c r="E97" t="s">
        <v>65</v>
      </c>
      <c r="F97" s="2">
        <v>5683000</v>
      </c>
      <c r="G97">
        <f>IF(F97="","",F97*Parameters!$B$1)</f>
        <v>1193430</v>
      </c>
      <c r="H97" s="2">
        <v>1890000</v>
      </c>
      <c r="I97">
        <f>IF(H97="","",H97*Parameters!$B$1)</f>
        <v>396900</v>
      </c>
      <c r="J97">
        <f t="shared" si="6"/>
        <v>1590330</v>
      </c>
      <c r="K97" s="2">
        <v>1252000</v>
      </c>
      <c r="L97">
        <f>IF(K97="","",K97*Parameters!$B$1)</f>
        <v>262920</v>
      </c>
      <c r="M97">
        <f t="shared" si="7"/>
        <v>1456350</v>
      </c>
      <c r="N97" s="2">
        <v>1192600</v>
      </c>
      <c r="O97">
        <f>IF(N97="","",N97*Parameters!$B$1)</f>
        <v>250446</v>
      </c>
      <c r="P97">
        <f t="shared" si="8"/>
        <v>1443876</v>
      </c>
    </row>
    <row r="98" spans="1:16">
      <c r="A98" t="s">
        <v>368</v>
      </c>
      <c r="B98" t="s">
        <v>419</v>
      </c>
      <c r="C98" t="s">
        <v>15</v>
      </c>
      <c r="D98" t="s">
        <v>16</v>
      </c>
      <c r="E98" t="s">
        <v>65</v>
      </c>
      <c r="F98" s="2">
        <v>5683000</v>
      </c>
      <c r="G98">
        <f>IF(F98="","",F98*Parameters!$B$1)</f>
        <v>1193430</v>
      </c>
      <c r="H98" s="2">
        <v>1890000</v>
      </c>
      <c r="I98">
        <f>IF(H98="","",H98*Parameters!$B$1)</f>
        <v>396900</v>
      </c>
      <c r="J98">
        <f t="shared" si="6"/>
        <v>1590330</v>
      </c>
      <c r="K98" s="2">
        <v>1252000</v>
      </c>
      <c r="L98">
        <f>IF(K98="","",K98*Parameters!$B$1)</f>
        <v>262920</v>
      </c>
      <c r="M98">
        <f t="shared" si="7"/>
        <v>1456350</v>
      </c>
      <c r="N98" s="2">
        <v>1192600</v>
      </c>
      <c r="O98">
        <f>IF(N98="","",N98*Parameters!$B$1)</f>
        <v>250446</v>
      </c>
      <c r="P98">
        <f t="shared" si="8"/>
        <v>1443876</v>
      </c>
    </row>
    <row r="99" spans="1:16">
      <c r="A99" t="s">
        <v>368</v>
      </c>
      <c r="B99" t="s">
        <v>420</v>
      </c>
      <c r="C99" t="s">
        <v>15</v>
      </c>
      <c r="D99" t="s">
        <v>16</v>
      </c>
      <c r="E99" t="s">
        <v>65</v>
      </c>
      <c r="F99" s="2">
        <v>6572000</v>
      </c>
      <c r="G99">
        <f>IF(F99="","",F99*Parameters!$B$1)</f>
        <v>1380120</v>
      </c>
      <c r="H99" s="2">
        <v>1890000</v>
      </c>
      <c r="I99">
        <f>IF(H99="","",H99*Parameters!$B$1)</f>
        <v>396900</v>
      </c>
      <c r="J99">
        <f t="shared" si="6"/>
        <v>1777020</v>
      </c>
      <c r="K99" s="2">
        <v>1252000</v>
      </c>
      <c r="L99">
        <f>IF(K99="","",K99*Parameters!$B$1)</f>
        <v>262920</v>
      </c>
      <c r="M99">
        <f t="shared" si="7"/>
        <v>1643040</v>
      </c>
      <c r="N99" s="2">
        <v>1192600</v>
      </c>
      <c r="O99">
        <f>IF(N99="","",N99*Parameters!$B$1)</f>
        <v>250446</v>
      </c>
      <c r="P99">
        <f t="shared" si="8"/>
        <v>1630566</v>
      </c>
    </row>
    <row r="100" spans="1:16">
      <c r="A100" t="s">
        <v>368</v>
      </c>
      <c r="B100" t="s">
        <v>250</v>
      </c>
      <c r="C100" t="s">
        <v>15</v>
      </c>
      <c r="D100" t="s">
        <v>16</v>
      </c>
      <c r="E100" t="s">
        <v>65</v>
      </c>
      <c r="F100" s="2">
        <v>6572000</v>
      </c>
      <c r="G100">
        <f>IF(F100="","",F100*Parameters!$B$1)</f>
        <v>1380120</v>
      </c>
      <c r="H100" s="2">
        <v>1890000</v>
      </c>
      <c r="I100">
        <f>IF(H100="","",H100*Parameters!$B$1)</f>
        <v>396900</v>
      </c>
      <c r="J100">
        <f t="shared" si="6"/>
        <v>1777020</v>
      </c>
      <c r="K100" s="2">
        <v>1252000</v>
      </c>
      <c r="L100">
        <f>IF(K100="","",K100*Parameters!$B$1)</f>
        <v>262920</v>
      </c>
      <c r="M100">
        <f t="shared" si="7"/>
        <v>1643040</v>
      </c>
      <c r="N100" s="2">
        <v>1192600</v>
      </c>
      <c r="O100">
        <f>IF(N100="","",N100*Parameters!$B$1)</f>
        <v>250446</v>
      </c>
      <c r="P100">
        <f t="shared" si="8"/>
        <v>1630566</v>
      </c>
    </row>
    <row r="101" spans="1:16">
      <c r="A101" t="s">
        <v>368</v>
      </c>
      <c r="B101" t="s">
        <v>406</v>
      </c>
      <c r="C101" t="s">
        <v>15</v>
      </c>
      <c r="D101" t="s">
        <v>16</v>
      </c>
      <c r="E101" t="s">
        <v>65</v>
      </c>
      <c r="F101" s="2">
        <v>6572000</v>
      </c>
      <c r="G101">
        <f>IF(F101="","",F101*Parameters!$B$1)</f>
        <v>1380120</v>
      </c>
      <c r="H101" s="2">
        <v>1890000</v>
      </c>
      <c r="I101">
        <f>IF(H101="","",H101*Parameters!$B$1)</f>
        <v>396900</v>
      </c>
      <c r="J101">
        <f t="shared" si="6"/>
        <v>1777020</v>
      </c>
      <c r="K101" s="2">
        <v>1252000</v>
      </c>
      <c r="L101">
        <f>IF(K101="","",K101*Parameters!$B$1)</f>
        <v>262920</v>
      </c>
      <c r="M101">
        <f t="shared" si="7"/>
        <v>1643040</v>
      </c>
      <c r="N101" s="2">
        <v>1192600</v>
      </c>
      <c r="O101">
        <f>IF(N101="","",N101*Parameters!$B$1)</f>
        <v>250446</v>
      </c>
      <c r="P101">
        <f t="shared" si="8"/>
        <v>1630566</v>
      </c>
    </row>
    <row r="102" spans="1:16">
      <c r="A102" t="s">
        <v>368</v>
      </c>
      <c r="B102" t="s">
        <v>424</v>
      </c>
      <c r="C102" t="s">
        <v>15</v>
      </c>
      <c r="D102" t="s">
        <v>16</v>
      </c>
      <c r="E102" t="s">
        <v>65</v>
      </c>
      <c r="F102" s="2">
        <v>6572000</v>
      </c>
      <c r="G102">
        <f>IF(F102="","",F102*Parameters!$B$1)</f>
        <v>1380120</v>
      </c>
      <c r="H102" s="2">
        <v>1890000</v>
      </c>
      <c r="I102">
        <f>IF(H102="","",H102*Parameters!$B$1)</f>
        <v>396900</v>
      </c>
      <c r="J102">
        <f t="shared" si="6"/>
        <v>1777020</v>
      </c>
      <c r="K102" s="2">
        <v>1252000</v>
      </c>
      <c r="L102">
        <f>IF(K102="","",K102*Parameters!$B$1)</f>
        <v>262920</v>
      </c>
      <c r="M102">
        <f t="shared" si="7"/>
        <v>1643040</v>
      </c>
      <c r="N102" s="2">
        <v>1192600</v>
      </c>
      <c r="O102">
        <f>IF(N102="","",N102*Parameters!$B$1)</f>
        <v>250446</v>
      </c>
      <c r="P102">
        <f t="shared" si="8"/>
        <v>1630566</v>
      </c>
    </row>
    <row r="103" spans="1:16">
      <c r="A103" t="s">
        <v>368</v>
      </c>
      <c r="B103" t="s">
        <v>426</v>
      </c>
      <c r="C103" t="s">
        <v>15</v>
      </c>
      <c r="D103" t="s">
        <v>16</v>
      </c>
      <c r="E103" t="s">
        <v>65</v>
      </c>
      <c r="F103" s="2">
        <v>6572000</v>
      </c>
      <c r="G103">
        <f>IF(F103="","",F103*Parameters!$B$1)</f>
        <v>1380120</v>
      </c>
      <c r="H103" s="2">
        <v>1890000</v>
      </c>
      <c r="I103">
        <f>IF(H103="","",H103*Parameters!$B$1)</f>
        <v>396900</v>
      </c>
      <c r="J103">
        <f t="shared" si="6"/>
        <v>1777020</v>
      </c>
      <c r="K103" s="2">
        <v>1252000</v>
      </c>
      <c r="L103">
        <f>IF(K103="","",K103*Parameters!$B$1)</f>
        <v>262920</v>
      </c>
      <c r="M103">
        <f t="shared" si="7"/>
        <v>1643040</v>
      </c>
      <c r="N103" s="2">
        <v>1192600</v>
      </c>
      <c r="O103">
        <f>IF(N103="","",N103*Parameters!$B$1)</f>
        <v>250446</v>
      </c>
      <c r="P103">
        <f t="shared" si="8"/>
        <v>1630566</v>
      </c>
    </row>
    <row r="104" spans="1:16">
      <c r="A104" t="s">
        <v>368</v>
      </c>
      <c r="B104" t="s">
        <v>428</v>
      </c>
      <c r="C104" t="s">
        <v>15</v>
      </c>
      <c r="D104" t="s">
        <v>16</v>
      </c>
      <c r="E104" t="s">
        <v>65</v>
      </c>
      <c r="F104" s="2">
        <v>5683000</v>
      </c>
      <c r="G104">
        <f>IF(F104="","",F104*Parameters!$B$1)</f>
        <v>1193430</v>
      </c>
      <c r="H104" s="2">
        <v>1890000</v>
      </c>
      <c r="I104">
        <f>IF(H104="","",H104*Parameters!$B$1)</f>
        <v>396900</v>
      </c>
      <c r="J104">
        <f t="shared" si="6"/>
        <v>1590330</v>
      </c>
      <c r="K104" s="2">
        <v>1252000</v>
      </c>
      <c r="L104">
        <f>IF(K104="","",K104*Parameters!$B$1)</f>
        <v>262920</v>
      </c>
      <c r="M104">
        <f t="shared" si="7"/>
        <v>1456350</v>
      </c>
      <c r="N104" s="2">
        <v>1192600</v>
      </c>
      <c r="O104">
        <f>IF(N104="","",N104*Parameters!$B$1)</f>
        <v>250446</v>
      </c>
      <c r="P104">
        <f t="shared" si="8"/>
        <v>1443876</v>
      </c>
    </row>
    <row r="105" spans="1:16">
      <c r="G105" t="str">
        <f>IF(F105="","",F105*Parameters!$B$1)</f>
        <v/>
      </c>
    </row>
    <row r="106" spans="1:16">
      <c r="G106" t="str">
        <f>IF(F106="","",F106*Parameters!$B$1)</f>
        <v/>
      </c>
    </row>
    <row r="107" spans="1:16">
      <c r="G107" t="str">
        <f>IF(F107="","",F107*Parameters!$B$1)</f>
        <v/>
      </c>
    </row>
    <row r="108" spans="1:16">
      <c r="G108" t="str">
        <f>IF(F108="","",F108*Parameters!$B$1)</f>
        <v/>
      </c>
    </row>
    <row r="109" spans="1:16">
      <c r="G109" t="str">
        <f>IF(F109="","",F109*Parameters!$B$1)</f>
        <v/>
      </c>
    </row>
    <row r="110" spans="1:16">
      <c r="G110" t="str">
        <f>IF(F110="","",F110*Parameters!$B$1)</f>
        <v/>
      </c>
    </row>
    <row r="111" spans="1:16">
      <c r="G111" t="str">
        <f>IF(F111="","",F111*Parameters!$B$1)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B0CEA-9CA9-4B6C-8272-98C4F4065537}">
  <dimension ref="A1:V101"/>
  <sheetViews>
    <sheetView topLeftCell="A31" zoomScale="111" workbookViewId="0">
      <selection activeCell="B58" sqref="B58"/>
    </sheetView>
  </sheetViews>
  <sheetFormatPr defaultRowHeight="15"/>
  <cols>
    <col min="2" max="2" width="43.140625" customWidth="1"/>
    <col min="6" max="6" width="13.42578125" customWidth="1"/>
    <col min="7" max="7" width="12.5703125" customWidth="1"/>
  </cols>
  <sheetData>
    <row r="1" spans="1:22" s="23" customFormat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70</v>
      </c>
      <c r="I1" s="23" t="s">
        <v>71</v>
      </c>
      <c r="J1" s="23" t="s">
        <v>72</v>
      </c>
      <c r="K1" s="23" t="s">
        <v>73</v>
      </c>
      <c r="L1" s="23" t="s">
        <v>74</v>
      </c>
      <c r="M1" s="23" t="s">
        <v>75</v>
      </c>
      <c r="N1" s="23" t="s">
        <v>76</v>
      </c>
      <c r="O1" s="23" t="s">
        <v>77</v>
      </c>
      <c r="P1" s="23" t="s">
        <v>78</v>
      </c>
      <c r="Q1" s="23" t="s">
        <v>434</v>
      </c>
      <c r="R1" s="23" t="s">
        <v>366</v>
      </c>
      <c r="S1" s="23" t="s">
        <v>367</v>
      </c>
      <c r="T1" s="23" t="s">
        <v>435</v>
      </c>
      <c r="U1" s="23" t="s">
        <v>436</v>
      </c>
      <c r="V1" s="23" t="s">
        <v>437</v>
      </c>
    </row>
    <row r="2" spans="1:22" ht="60">
      <c r="A2" t="s">
        <v>438</v>
      </c>
      <c r="B2" s="1" t="s">
        <v>439</v>
      </c>
      <c r="C2" t="s">
        <v>15</v>
      </c>
      <c r="D2" t="s">
        <v>16</v>
      </c>
      <c r="E2" t="s">
        <v>17</v>
      </c>
      <c r="F2" s="2">
        <v>3545580</v>
      </c>
      <c r="G2">
        <f>IF(F2="","",F2*Parameters!$B$1)</f>
        <v>744571.79999999993</v>
      </c>
      <c r="H2">
        <v>1000</v>
      </c>
      <c r="I2">
        <f>IF(H2="","",H2*Parameters!$B$2)</f>
        <v>320000</v>
      </c>
      <c r="J2">
        <f t="shared" ref="J2:J33" si="0">IF(OR(G2="",I2=""),"",G2+I2)</f>
        <v>1064571.7999999998</v>
      </c>
      <c r="K2">
        <v>450</v>
      </c>
      <c r="L2">
        <f>IF(K2="","",K2*Parameters!$B$2)</f>
        <v>144000</v>
      </c>
      <c r="M2">
        <f t="shared" ref="M2:M33" si="1">IF(OR(G2="",L2=""),"",G2+L2)</f>
        <v>888571.79999999993</v>
      </c>
      <c r="N2">
        <v>520</v>
      </c>
      <c r="O2">
        <f>IF(N2="","",N2*Parameters!$B$2)</f>
        <v>166400</v>
      </c>
      <c r="P2">
        <f t="shared" ref="P2:P33" si="2">IF(OR(G2="",O2=""),"",G2+O2)</f>
        <v>910971.79999999993</v>
      </c>
    </row>
    <row r="3" spans="1:22">
      <c r="A3" t="s">
        <v>438</v>
      </c>
      <c r="B3" t="s">
        <v>440</v>
      </c>
      <c r="C3" t="s">
        <v>15</v>
      </c>
      <c r="D3" t="s">
        <v>16</v>
      </c>
      <c r="E3" t="s">
        <v>17</v>
      </c>
      <c r="F3" s="2">
        <v>3545580</v>
      </c>
      <c r="G3">
        <f>IF(F3="","",F3*Parameters!$B$1)</f>
        <v>744571.79999999993</v>
      </c>
      <c r="H3">
        <v>1000</v>
      </c>
      <c r="I3">
        <f>IF(H3="","",H3*Parameters!$B$2)</f>
        <v>320000</v>
      </c>
      <c r="J3">
        <f t="shared" si="0"/>
        <v>1064571.7999999998</v>
      </c>
      <c r="K3">
        <v>450</v>
      </c>
      <c r="L3">
        <f>IF(K3="","",K3*Parameters!$B$2)</f>
        <v>144000</v>
      </c>
      <c r="M3">
        <f t="shared" si="1"/>
        <v>888571.79999999993</v>
      </c>
      <c r="N3">
        <v>520</v>
      </c>
      <c r="O3">
        <f>IF(N3="","",N3*Parameters!$B$2)</f>
        <v>166400</v>
      </c>
      <c r="P3">
        <f t="shared" si="2"/>
        <v>910971.79999999993</v>
      </c>
    </row>
    <row r="4" spans="1:22">
      <c r="A4" t="s">
        <v>438</v>
      </c>
      <c r="B4" t="s">
        <v>441</v>
      </c>
      <c r="C4" t="s">
        <v>15</v>
      </c>
      <c r="D4" t="s">
        <v>16</v>
      </c>
      <c r="E4" t="s">
        <v>17</v>
      </c>
      <c r="F4" s="2">
        <v>3545580</v>
      </c>
      <c r="G4">
        <f>IF(F4="","",F4*Parameters!$B$1)</f>
        <v>744571.79999999993</v>
      </c>
      <c r="H4">
        <v>1000</v>
      </c>
      <c r="I4">
        <f>IF(H4="","",H4*Parameters!$B$2)</f>
        <v>320000</v>
      </c>
      <c r="J4">
        <f t="shared" si="0"/>
        <v>1064571.7999999998</v>
      </c>
      <c r="K4">
        <v>450</v>
      </c>
      <c r="L4">
        <f>IF(K4="","",K4*Parameters!$B$2)</f>
        <v>144000</v>
      </c>
      <c r="M4">
        <f t="shared" si="1"/>
        <v>888571.79999999993</v>
      </c>
      <c r="N4">
        <v>520</v>
      </c>
      <c r="O4">
        <f>IF(N4="","",N4*Parameters!$B$2)</f>
        <v>166400</v>
      </c>
      <c r="P4">
        <f t="shared" si="2"/>
        <v>910971.79999999993</v>
      </c>
    </row>
    <row r="5" spans="1:22">
      <c r="A5" t="s">
        <v>438</v>
      </c>
      <c r="B5" s="1" t="s">
        <v>442</v>
      </c>
      <c r="C5" t="s">
        <v>16</v>
      </c>
      <c r="D5" t="s">
        <v>15</v>
      </c>
      <c r="E5" t="s">
        <v>17</v>
      </c>
      <c r="F5" s="2">
        <v>3545580</v>
      </c>
      <c r="G5">
        <f>IF(F5="","",F5*Parameters!$B$1)</f>
        <v>744571.79999999993</v>
      </c>
      <c r="H5">
        <v>1000</v>
      </c>
      <c r="I5">
        <f>IF(H5="","",H5*Parameters!$B$2)</f>
        <v>320000</v>
      </c>
      <c r="J5">
        <f t="shared" si="0"/>
        <v>1064571.7999999998</v>
      </c>
      <c r="K5">
        <v>450</v>
      </c>
      <c r="L5">
        <f>IF(K5="","",K5*Parameters!$B$2)</f>
        <v>144000</v>
      </c>
      <c r="M5">
        <f t="shared" si="1"/>
        <v>888571.79999999993</v>
      </c>
      <c r="N5">
        <v>520</v>
      </c>
      <c r="O5">
        <f>IF(N5="","",N5*Parameters!$B$2)</f>
        <v>166400</v>
      </c>
      <c r="P5">
        <f t="shared" si="2"/>
        <v>910971.79999999993</v>
      </c>
    </row>
    <row r="6" spans="1:22">
      <c r="A6" t="s">
        <v>438</v>
      </c>
      <c r="B6" t="s">
        <v>443</v>
      </c>
      <c r="C6" t="s">
        <v>16</v>
      </c>
      <c r="D6" t="s">
        <v>15</v>
      </c>
      <c r="E6" t="s">
        <v>17</v>
      </c>
      <c r="F6" s="2">
        <v>3545580</v>
      </c>
      <c r="G6">
        <f>IF(F6="","",F6*Parameters!$B$1)</f>
        <v>744571.79999999993</v>
      </c>
      <c r="H6">
        <v>1000</v>
      </c>
      <c r="I6">
        <f>IF(H6="","",H6*Parameters!$B$2)</f>
        <v>320000</v>
      </c>
      <c r="J6">
        <f t="shared" si="0"/>
        <v>1064571.7999999998</v>
      </c>
      <c r="K6">
        <v>450</v>
      </c>
      <c r="L6">
        <f>IF(K6="","",K6*Parameters!$B$2)</f>
        <v>144000</v>
      </c>
      <c r="M6">
        <f t="shared" si="1"/>
        <v>888571.79999999993</v>
      </c>
      <c r="N6">
        <v>520</v>
      </c>
      <c r="O6">
        <f>IF(N6="","",N6*Parameters!$B$2)</f>
        <v>166400</v>
      </c>
      <c r="P6">
        <f t="shared" si="2"/>
        <v>910971.79999999993</v>
      </c>
    </row>
    <row r="7" spans="1:22">
      <c r="A7" t="s">
        <v>438</v>
      </c>
      <c r="B7" t="s">
        <v>444</v>
      </c>
      <c r="C7" t="s">
        <v>15</v>
      </c>
      <c r="D7" t="s">
        <v>16</v>
      </c>
      <c r="E7" t="s">
        <v>17</v>
      </c>
      <c r="F7" s="2">
        <v>3545580</v>
      </c>
      <c r="G7">
        <f>IF(F7="","",F7*Parameters!$B$1)</f>
        <v>744571.79999999993</v>
      </c>
      <c r="H7">
        <v>1000</v>
      </c>
      <c r="I7">
        <f>IF(H7="","",H7*Parameters!$B$2)</f>
        <v>320000</v>
      </c>
      <c r="J7">
        <f t="shared" si="0"/>
        <v>1064571.7999999998</v>
      </c>
      <c r="K7">
        <v>450</v>
      </c>
      <c r="L7">
        <f>IF(K7="","",K7*Parameters!$B$2)</f>
        <v>144000</v>
      </c>
      <c r="M7">
        <f t="shared" si="1"/>
        <v>888571.79999999993</v>
      </c>
      <c r="N7">
        <v>520</v>
      </c>
      <c r="O7">
        <f>IF(N7="","",N7*Parameters!$B$2)</f>
        <v>166400</v>
      </c>
      <c r="P7">
        <f t="shared" si="2"/>
        <v>910971.79999999993</v>
      </c>
    </row>
    <row r="8" spans="1:22">
      <c r="A8" t="s">
        <v>438</v>
      </c>
      <c r="B8" t="s">
        <v>445</v>
      </c>
      <c r="C8" t="s">
        <v>15</v>
      </c>
      <c r="D8" t="s">
        <v>16</v>
      </c>
      <c r="E8" t="s">
        <v>17</v>
      </c>
      <c r="F8" s="2">
        <v>3545580</v>
      </c>
      <c r="G8">
        <f>IF(F8="","",F8*Parameters!$B$1)</f>
        <v>744571.79999999993</v>
      </c>
      <c r="H8">
        <v>1000</v>
      </c>
      <c r="I8">
        <f>IF(H8="","",H8*Parameters!$B$2)</f>
        <v>320000</v>
      </c>
      <c r="J8">
        <f t="shared" si="0"/>
        <v>1064571.7999999998</v>
      </c>
      <c r="K8">
        <v>450</v>
      </c>
      <c r="L8">
        <f>IF(K8="","",K8*Parameters!$B$2)</f>
        <v>144000</v>
      </c>
      <c r="M8">
        <f t="shared" si="1"/>
        <v>888571.79999999993</v>
      </c>
      <c r="N8">
        <v>520</v>
      </c>
      <c r="O8">
        <f>IF(N8="","",N8*Parameters!$B$2)</f>
        <v>166400</v>
      </c>
      <c r="P8">
        <f t="shared" si="2"/>
        <v>910971.79999999993</v>
      </c>
    </row>
    <row r="9" spans="1:22">
      <c r="A9" t="s">
        <v>438</v>
      </c>
      <c r="B9" t="s">
        <v>446</v>
      </c>
      <c r="C9" t="s">
        <v>15</v>
      </c>
      <c r="D9" t="s">
        <v>16</v>
      </c>
      <c r="E9" t="s">
        <v>17</v>
      </c>
      <c r="F9" s="2">
        <v>3545580</v>
      </c>
      <c r="G9">
        <f>IF(F9="","",F9*Parameters!$B$1)</f>
        <v>744571.79999999993</v>
      </c>
      <c r="H9">
        <v>1000</v>
      </c>
      <c r="I9">
        <f>IF(H9="","",H9*Parameters!$B$2)</f>
        <v>320000</v>
      </c>
      <c r="J9">
        <f t="shared" si="0"/>
        <v>1064571.7999999998</v>
      </c>
      <c r="K9">
        <v>450</v>
      </c>
      <c r="L9">
        <f>IF(K9="","",K9*Parameters!$B$2)</f>
        <v>144000</v>
      </c>
      <c r="M9">
        <f t="shared" si="1"/>
        <v>888571.79999999993</v>
      </c>
      <c r="N9">
        <v>520</v>
      </c>
      <c r="O9">
        <f>IF(N9="","",N9*Parameters!$B$2)</f>
        <v>166400</v>
      </c>
      <c r="P9">
        <f t="shared" si="2"/>
        <v>910971.79999999993</v>
      </c>
    </row>
    <row r="10" spans="1:22" ht="45">
      <c r="A10" t="s">
        <v>438</v>
      </c>
      <c r="B10" s="1" t="s">
        <v>447</v>
      </c>
      <c r="C10" t="s">
        <v>15</v>
      </c>
      <c r="D10" t="s">
        <v>16</v>
      </c>
      <c r="E10" t="s">
        <v>17</v>
      </c>
      <c r="F10" s="2">
        <v>4530060</v>
      </c>
      <c r="G10">
        <f>IF(F10="","",F10*Parameters!$B$1)</f>
        <v>951312.6</v>
      </c>
      <c r="H10">
        <v>1000</v>
      </c>
      <c r="I10">
        <f>IF(H10="","",H10*Parameters!$B$2)</f>
        <v>320000</v>
      </c>
      <c r="J10">
        <f t="shared" si="0"/>
        <v>1271312.6000000001</v>
      </c>
      <c r="K10">
        <v>450</v>
      </c>
      <c r="L10">
        <f>IF(K10="","",K10*Parameters!$B$2)</f>
        <v>144000</v>
      </c>
      <c r="M10">
        <f t="shared" si="1"/>
        <v>1095312.6000000001</v>
      </c>
      <c r="N10">
        <v>520</v>
      </c>
      <c r="O10">
        <f>IF(N10="","",N10*Parameters!$B$2)</f>
        <v>166400</v>
      </c>
      <c r="P10">
        <f t="shared" si="2"/>
        <v>1117712.6000000001</v>
      </c>
    </row>
    <row r="11" spans="1:22">
      <c r="A11" t="s">
        <v>438</v>
      </c>
      <c r="B11" t="s">
        <v>448</v>
      </c>
      <c r="C11" t="s">
        <v>15</v>
      </c>
      <c r="D11" t="s">
        <v>16</v>
      </c>
      <c r="E11" t="s">
        <v>17</v>
      </c>
      <c r="F11" s="2">
        <v>4530060</v>
      </c>
      <c r="G11">
        <f>IF(F11="","",F11*Parameters!$B$1)</f>
        <v>951312.6</v>
      </c>
      <c r="H11">
        <v>1000</v>
      </c>
      <c r="I11">
        <f>IF(H11="","",H11*Parameters!$B$2)</f>
        <v>320000</v>
      </c>
      <c r="J11">
        <f t="shared" si="0"/>
        <v>1271312.6000000001</v>
      </c>
      <c r="K11">
        <v>450</v>
      </c>
      <c r="L11">
        <f>IF(K11="","",K11*Parameters!$B$2)</f>
        <v>144000</v>
      </c>
      <c r="M11">
        <f t="shared" si="1"/>
        <v>1095312.6000000001</v>
      </c>
      <c r="N11">
        <v>520</v>
      </c>
      <c r="O11">
        <f>IF(N11="","",N11*Parameters!$B$2)</f>
        <v>166400</v>
      </c>
      <c r="P11">
        <f t="shared" si="2"/>
        <v>1117712.6000000001</v>
      </c>
    </row>
    <row r="12" spans="1:22">
      <c r="A12" t="s">
        <v>438</v>
      </c>
      <c r="B12" t="s">
        <v>449</v>
      </c>
      <c r="C12" t="s">
        <v>15</v>
      </c>
      <c r="D12" t="s">
        <v>16</v>
      </c>
      <c r="E12" t="s">
        <v>17</v>
      </c>
      <c r="F12" s="2">
        <v>4530060</v>
      </c>
      <c r="G12">
        <f>IF(F12="","",F12*Parameters!$B$1)</f>
        <v>951312.6</v>
      </c>
      <c r="H12">
        <v>1000</v>
      </c>
      <c r="I12">
        <f>IF(H12="","",H12*Parameters!$B$2)</f>
        <v>320000</v>
      </c>
      <c r="J12">
        <f t="shared" si="0"/>
        <v>1271312.6000000001</v>
      </c>
      <c r="K12">
        <v>450</v>
      </c>
      <c r="L12">
        <f>IF(K12="","",K12*Parameters!$B$2)</f>
        <v>144000</v>
      </c>
      <c r="M12">
        <f t="shared" si="1"/>
        <v>1095312.6000000001</v>
      </c>
      <c r="N12">
        <v>520</v>
      </c>
      <c r="O12">
        <f>IF(N12="","",N12*Parameters!$B$2)</f>
        <v>166400</v>
      </c>
      <c r="P12">
        <f t="shared" si="2"/>
        <v>1117712.6000000001</v>
      </c>
    </row>
    <row r="13" spans="1:22">
      <c r="A13" t="s">
        <v>438</v>
      </c>
      <c r="B13" t="s">
        <v>450</v>
      </c>
      <c r="C13" t="s">
        <v>15</v>
      </c>
      <c r="D13" t="s">
        <v>16</v>
      </c>
      <c r="E13" t="s">
        <v>17</v>
      </c>
      <c r="F13" s="2">
        <v>4530060</v>
      </c>
      <c r="G13">
        <f>IF(F13="","",F13*Parameters!$B$1)</f>
        <v>951312.6</v>
      </c>
      <c r="H13">
        <v>1000</v>
      </c>
      <c r="I13">
        <f>IF(H13="","",H13*Parameters!$B$2)</f>
        <v>320000</v>
      </c>
      <c r="J13">
        <f t="shared" si="0"/>
        <v>1271312.6000000001</v>
      </c>
      <c r="K13">
        <v>450</v>
      </c>
      <c r="L13">
        <f>IF(K13="","",K13*Parameters!$B$2)</f>
        <v>144000</v>
      </c>
      <c r="M13">
        <f t="shared" si="1"/>
        <v>1095312.6000000001</v>
      </c>
      <c r="N13">
        <v>520</v>
      </c>
      <c r="O13">
        <f>IF(N13="","",N13*Parameters!$B$2)</f>
        <v>166400</v>
      </c>
      <c r="P13">
        <f t="shared" si="2"/>
        <v>1117712.6000000001</v>
      </c>
    </row>
    <row r="14" spans="1:22">
      <c r="A14" t="s">
        <v>438</v>
      </c>
      <c r="B14" t="s">
        <v>34</v>
      </c>
      <c r="C14" t="s">
        <v>15</v>
      </c>
      <c r="D14" t="s">
        <v>16</v>
      </c>
      <c r="E14" t="s">
        <v>17</v>
      </c>
      <c r="F14" s="2">
        <v>4530060</v>
      </c>
      <c r="G14">
        <f>IF(F14="","",F14*Parameters!$B$1)</f>
        <v>951312.6</v>
      </c>
      <c r="H14">
        <v>1000</v>
      </c>
      <c r="I14">
        <f>IF(H14="","",H14*Parameters!$B$2)</f>
        <v>320000</v>
      </c>
      <c r="J14">
        <f t="shared" si="0"/>
        <v>1271312.6000000001</v>
      </c>
      <c r="K14">
        <v>450</v>
      </c>
      <c r="L14">
        <f>IF(K14="","",K14*Parameters!$B$2)</f>
        <v>144000</v>
      </c>
      <c r="M14">
        <f t="shared" si="1"/>
        <v>1095312.6000000001</v>
      </c>
      <c r="N14">
        <v>520</v>
      </c>
      <c r="O14">
        <f>IF(N14="","",N14*Parameters!$B$2)</f>
        <v>166400</v>
      </c>
      <c r="P14">
        <f t="shared" si="2"/>
        <v>1117712.6000000001</v>
      </c>
    </row>
    <row r="15" spans="1:22">
      <c r="A15" t="s">
        <v>438</v>
      </c>
      <c r="B15" t="s">
        <v>36</v>
      </c>
      <c r="C15" t="s">
        <v>15</v>
      </c>
      <c r="D15" t="s">
        <v>16</v>
      </c>
      <c r="E15" t="s">
        <v>17</v>
      </c>
      <c r="F15" s="2">
        <v>4530060</v>
      </c>
      <c r="G15">
        <f>IF(F15="","",F15*Parameters!$B$1)</f>
        <v>951312.6</v>
      </c>
      <c r="H15">
        <v>1000</v>
      </c>
      <c r="I15">
        <f>IF(H15="","",H15*Parameters!$B$2)</f>
        <v>320000</v>
      </c>
      <c r="J15">
        <f t="shared" si="0"/>
        <v>1271312.6000000001</v>
      </c>
      <c r="K15">
        <v>450</v>
      </c>
      <c r="L15">
        <f>IF(K15="","",K15*Parameters!$B$2)</f>
        <v>144000</v>
      </c>
      <c r="M15">
        <f t="shared" si="1"/>
        <v>1095312.6000000001</v>
      </c>
      <c r="N15">
        <v>520</v>
      </c>
      <c r="O15">
        <f>IF(N15="","",N15*Parameters!$B$2)</f>
        <v>166400</v>
      </c>
      <c r="P15">
        <f t="shared" si="2"/>
        <v>1117712.6000000001</v>
      </c>
    </row>
    <row r="16" spans="1:22">
      <c r="A16" t="s">
        <v>438</v>
      </c>
      <c r="B16" t="s">
        <v>88</v>
      </c>
      <c r="C16" t="s">
        <v>15</v>
      </c>
      <c r="D16" t="s">
        <v>16</v>
      </c>
      <c r="E16" t="s">
        <v>17</v>
      </c>
      <c r="F16" s="2">
        <v>4530060</v>
      </c>
      <c r="G16">
        <f>IF(F16="","",F16*Parameters!$B$1)</f>
        <v>951312.6</v>
      </c>
      <c r="H16">
        <v>1000</v>
      </c>
      <c r="I16">
        <f>IF(H16="","",H16*Parameters!$B$2)</f>
        <v>320000</v>
      </c>
      <c r="J16">
        <f t="shared" si="0"/>
        <v>1271312.6000000001</v>
      </c>
      <c r="K16">
        <v>450</v>
      </c>
      <c r="L16">
        <f>IF(K16="","",K16*Parameters!$B$2)</f>
        <v>144000</v>
      </c>
      <c r="M16">
        <f t="shared" si="1"/>
        <v>1095312.6000000001</v>
      </c>
      <c r="N16">
        <v>520</v>
      </c>
      <c r="O16">
        <f>IF(N16="","",N16*Parameters!$B$2)</f>
        <v>166400</v>
      </c>
      <c r="P16">
        <f t="shared" si="2"/>
        <v>1117712.6000000001</v>
      </c>
    </row>
    <row r="17" spans="1:16">
      <c r="A17" t="s">
        <v>438</v>
      </c>
      <c r="B17" t="s">
        <v>451</v>
      </c>
      <c r="C17" t="s">
        <v>15</v>
      </c>
      <c r="D17" t="s">
        <v>16</v>
      </c>
      <c r="E17" t="s">
        <v>17</v>
      </c>
      <c r="F17" s="2">
        <v>4530060</v>
      </c>
      <c r="G17">
        <f>IF(F17="","",F17*Parameters!$B$1)</f>
        <v>951312.6</v>
      </c>
      <c r="H17">
        <v>1000</v>
      </c>
      <c r="I17">
        <f>IF(H17="","",H17*Parameters!$B$2)</f>
        <v>320000</v>
      </c>
      <c r="J17">
        <f t="shared" si="0"/>
        <v>1271312.6000000001</v>
      </c>
      <c r="K17">
        <v>450</v>
      </c>
      <c r="L17">
        <f>IF(K17="","",K17*Parameters!$B$2)</f>
        <v>144000</v>
      </c>
      <c r="M17">
        <f t="shared" si="1"/>
        <v>1095312.6000000001</v>
      </c>
      <c r="N17">
        <v>520</v>
      </c>
      <c r="O17">
        <f>IF(N17="","",N17*Parameters!$B$2)</f>
        <v>166400</v>
      </c>
      <c r="P17">
        <f t="shared" si="2"/>
        <v>1117712.6000000001</v>
      </c>
    </row>
    <row r="18" spans="1:16">
      <c r="A18" t="s">
        <v>438</v>
      </c>
      <c r="B18" t="s">
        <v>452</v>
      </c>
      <c r="C18" t="s">
        <v>15</v>
      </c>
      <c r="D18" t="s">
        <v>16</v>
      </c>
      <c r="E18" t="s">
        <v>17</v>
      </c>
      <c r="F18" s="2">
        <v>4530060</v>
      </c>
      <c r="G18">
        <f>IF(F18="","",F18*Parameters!$B$1)</f>
        <v>951312.6</v>
      </c>
      <c r="H18">
        <v>1000</v>
      </c>
      <c r="I18">
        <f>IF(H18="","",H18*Parameters!$B$2)</f>
        <v>320000</v>
      </c>
      <c r="J18">
        <f t="shared" si="0"/>
        <v>1271312.6000000001</v>
      </c>
      <c r="K18">
        <v>450</v>
      </c>
      <c r="L18">
        <f>IF(K18="","",K18*Parameters!$B$2)</f>
        <v>144000</v>
      </c>
      <c r="M18">
        <f t="shared" si="1"/>
        <v>1095312.6000000001</v>
      </c>
      <c r="N18">
        <v>520</v>
      </c>
      <c r="O18">
        <f>IF(N18="","",N18*Parameters!$B$2)</f>
        <v>166400</v>
      </c>
      <c r="P18">
        <f t="shared" si="2"/>
        <v>1117712.6000000001</v>
      </c>
    </row>
    <row r="19" spans="1:16">
      <c r="A19" t="s">
        <v>438</v>
      </c>
      <c r="B19" t="s">
        <v>453</v>
      </c>
      <c r="C19" t="s">
        <v>15</v>
      </c>
      <c r="D19" t="s">
        <v>16</v>
      </c>
      <c r="E19" t="s">
        <v>17</v>
      </c>
      <c r="F19" s="2">
        <v>4530060</v>
      </c>
      <c r="G19">
        <f>IF(F19="","",F19*Parameters!$B$1)</f>
        <v>951312.6</v>
      </c>
      <c r="H19">
        <v>1000</v>
      </c>
      <c r="I19">
        <f>IF(H19="","",H19*Parameters!$B$2)</f>
        <v>320000</v>
      </c>
      <c r="J19">
        <f t="shared" si="0"/>
        <v>1271312.6000000001</v>
      </c>
      <c r="K19">
        <v>450</v>
      </c>
      <c r="L19">
        <f>IF(K19="","",K19*Parameters!$B$2)</f>
        <v>144000</v>
      </c>
      <c r="M19">
        <f t="shared" si="1"/>
        <v>1095312.6000000001</v>
      </c>
      <c r="N19">
        <v>520</v>
      </c>
      <c r="O19">
        <f>IF(N19="","",N19*Parameters!$B$2)</f>
        <v>166400</v>
      </c>
      <c r="P19">
        <f t="shared" si="2"/>
        <v>1117712.6000000001</v>
      </c>
    </row>
    <row r="20" spans="1:16">
      <c r="A20" t="s">
        <v>438</v>
      </c>
      <c r="B20" t="s">
        <v>454</v>
      </c>
      <c r="C20" t="s">
        <v>15</v>
      </c>
      <c r="D20" t="s">
        <v>16</v>
      </c>
      <c r="E20" t="s">
        <v>17</v>
      </c>
      <c r="F20" s="2">
        <v>4530060</v>
      </c>
      <c r="G20">
        <f>IF(F20="","",F20*Parameters!$B$1)</f>
        <v>951312.6</v>
      </c>
      <c r="H20">
        <v>1000</v>
      </c>
      <c r="I20">
        <f>IF(H20="","",H20*Parameters!$B$2)</f>
        <v>320000</v>
      </c>
      <c r="J20">
        <f t="shared" si="0"/>
        <v>1271312.6000000001</v>
      </c>
      <c r="K20">
        <v>450</v>
      </c>
      <c r="L20">
        <f>IF(K20="","",K20*Parameters!$B$2)</f>
        <v>144000</v>
      </c>
      <c r="M20">
        <f t="shared" si="1"/>
        <v>1095312.6000000001</v>
      </c>
      <c r="N20">
        <v>520</v>
      </c>
      <c r="O20">
        <f>IF(N20="","",N20*Parameters!$B$2)</f>
        <v>166400</v>
      </c>
      <c r="P20">
        <f t="shared" si="2"/>
        <v>1117712.6000000001</v>
      </c>
    </row>
    <row r="21" spans="1:16">
      <c r="A21" t="s">
        <v>438</v>
      </c>
      <c r="B21" t="s">
        <v>455</v>
      </c>
      <c r="C21" t="s">
        <v>15</v>
      </c>
      <c r="D21" t="s">
        <v>16</v>
      </c>
      <c r="E21" t="s">
        <v>17</v>
      </c>
      <c r="F21" s="2">
        <v>4530060</v>
      </c>
      <c r="G21">
        <f>IF(F21="","",F21*Parameters!$B$1)</f>
        <v>951312.6</v>
      </c>
      <c r="H21">
        <v>1000</v>
      </c>
      <c r="I21">
        <f>IF(H21="","",H21*Parameters!$B$2)</f>
        <v>320000</v>
      </c>
      <c r="J21">
        <f t="shared" si="0"/>
        <v>1271312.6000000001</v>
      </c>
      <c r="K21">
        <v>450</v>
      </c>
      <c r="L21">
        <f>IF(K21="","",K21*Parameters!$B$2)</f>
        <v>144000</v>
      </c>
      <c r="M21">
        <f t="shared" si="1"/>
        <v>1095312.6000000001</v>
      </c>
      <c r="N21">
        <v>520</v>
      </c>
      <c r="O21">
        <f>IF(N21="","",N21*Parameters!$B$2)</f>
        <v>166400</v>
      </c>
      <c r="P21">
        <f t="shared" si="2"/>
        <v>1117712.6000000001</v>
      </c>
    </row>
    <row r="22" spans="1:16">
      <c r="A22" t="s">
        <v>438</v>
      </c>
      <c r="B22" t="s">
        <v>166</v>
      </c>
      <c r="C22" t="s">
        <v>15</v>
      </c>
      <c r="D22" t="s">
        <v>16</v>
      </c>
      <c r="E22" t="s">
        <v>17</v>
      </c>
      <c r="F22" s="2">
        <v>4114800</v>
      </c>
      <c r="G22">
        <f>IF(F22="","",F22*Parameters!$B$1)</f>
        <v>864108</v>
      </c>
      <c r="H22">
        <v>1000</v>
      </c>
      <c r="I22">
        <f>IF(H22="","",H22*Parameters!$B$2)</f>
        <v>320000</v>
      </c>
      <c r="J22">
        <f t="shared" si="0"/>
        <v>1184108</v>
      </c>
      <c r="K22">
        <v>450</v>
      </c>
      <c r="L22">
        <f>IF(K22="","",K22*Parameters!$B$2)</f>
        <v>144000</v>
      </c>
      <c r="M22">
        <f t="shared" si="1"/>
        <v>1008108</v>
      </c>
      <c r="N22">
        <v>520</v>
      </c>
      <c r="O22">
        <f>IF(N22="","",N22*Parameters!$B$2)</f>
        <v>166400</v>
      </c>
      <c r="P22">
        <f t="shared" si="2"/>
        <v>1030508</v>
      </c>
    </row>
    <row r="23" spans="1:16">
      <c r="A23" t="s">
        <v>438</v>
      </c>
      <c r="B23" t="s">
        <v>456</v>
      </c>
      <c r="C23" t="s">
        <v>15</v>
      </c>
      <c r="D23" t="s">
        <v>16</v>
      </c>
      <c r="E23" t="s">
        <v>17</v>
      </c>
      <c r="F23" s="2">
        <v>4114800</v>
      </c>
      <c r="G23">
        <f>IF(F23="","",F23*Parameters!$B$1)</f>
        <v>864108</v>
      </c>
      <c r="H23">
        <v>1000</v>
      </c>
      <c r="I23">
        <f>IF(H23="","",H23*Parameters!$B$2)</f>
        <v>320000</v>
      </c>
      <c r="J23">
        <f t="shared" si="0"/>
        <v>1184108</v>
      </c>
      <c r="K23">
        <v>450</v>
      </c>
      <c r="L23">
        <f>IF(K23="","",K23*Parameters!$B$2)</f>
        <v>144000</v>
      </c>
      <c r="M23">
        <f t="shared" si="1"/>
        <v>1008108</v>
      </c>
      <c r="N23">
        <v>520</v>
      </c>
      <c r="O23">
        <f>IF(N23="","",N23*Parameters!$B$2)</f>
        <v>166400</v>
      </c>
      <c r="P23">
        <f t="shared" si="2"/>
        <v>1030508</v>
      </c>
    </row>
    <row r="24" spans="1:16">
      <c r="A24" t="s">
        <v>438</v>
      </c>
      <c r="B24" t="s">
        <v>322</v>
      </c>
      <c r="C24" t="s">
        <v>15</v>
      </c>
      <c r="D24" t="s">
        <v>16</v>
      </c>
      <c r="E24" t="s">
        <v>17</v>
      </c>
      <c r="F24" s="2">
        <v>4114800</v>
      </c>
      <c r="G24">
        <f>IF(F24="","",F24*Parameters!$B$1)</f>
        <v>864108</v>
      </c>
      <c r="H24">
        <v>1000</v>
      </c>
      <c r="I24">
        <f>IF(H24="","",H24*Parameters!$B$2)</f>
        <v>320000</v>
      </c>
      <c r="J24">
        <f t="shared" si="0"/>
        <v>1184108</v>
      </c>
      <c r="K24">
        <v>450</v>
      </c>
      <c r="L24">
        <f>IF(K24="","",K24*Parameters!$B$2)</f>
        <v>144000</v>
      </c>
      <c r="M24">
        <f t="shared" si="1"/>
        <v>1008108</v>
      </c>
      <c r="N24">
        <v>520</v>
      </c>
      <c r="O24">
        <f>IF(N24="","",N24*Parameters!$B$2)</f>
        <v>166400</v>
      </c>
      <c r="P24">
        <f t="shared" si="2"/>
        <v>1030508</v>
      </c>
    </row>
    <row r="25" spans="1:16">
      <c r="A25" t="s">
        <v>438</v>
      </c>
      <c r="B25" t="s">
        <v>113</v>
      </c>
      <c r="C25" t="s">
        <v>15</v>
      </c>
      <c r="D25" t="s">
        <v>16</v>
      </c>
      <c r="E25" t="s">
        <v>17</v>
      </c>
      <c r="F25" s="2">
        <v>4114800</v>
      </c>
      <c r="G25">
        <f>IF(F25="","",F25*Parameters!$B$1)</f>
        <v>864108</v>
      </c>
      <c r="H25">
        <v>1000</v>
      </c>
      <c r="I25">
        <f>IF(H25="","",H25*Parameters!$B$2)</f>
        <v>320000</v>
      </c>
      <c r="J25">
        <f t="shared" si="0"/>
        <v>1184108</v>
      </c>
      <c r="K25">
        <v>450</v>
      </c>
      <c r="L25">
        <f>IF(K25="","",K25*Parameters!$B$2)</f>
        <v>144000</v>
      </c>
      <c r="M25">
        <f t="shared" si="1"/>
        <v>1008108</v>
      </c>
      <c r="N25">
        <v>520</v>
      </c>
      <c r="O25">
        <f>IF(N25="","",N25*Parameters!$B$2)</f>
        <v>166400</v>
      </c>
      <c r="P25">
        <f t="shared" si="2"/>
        <v>1030508</v>
      </c>
    </row>
    <row r="26" spans="1:16">
      <c r="A26" t="s">
        <v>438</v>
      </c>
      <c r="B26" t="s">
        <v>328</v>
      </c>
      <c r="C26" t="s">
        <v>15</v>
      </c>
      <c r="D26" t="s">
        <v>16</v>
      </c>
      <c r="E26" t="s">
        <v>17</v>
      </c>
      <c r="F26" s="2">
        <v>4114800</v>
      </c>
      <c r="G26">
        <f>IF(F26="","",F26*Parameters!$B$1)</f>
        <v>864108</v>
      </c>
      <c r="H26">
        <v>1000</v>
      </c>
      <c r="I26">
        <f>IF(H26="","",H26*Parameters!$B$2)</f>
        <v>320000</v>
      </c>
      <c r="J26">
        <f t="shared" si="0"/>
        <v>1184108</v>
      </c>
      <c r="K26">
        <v>450</v>
      </c>
      <c r="L26">
        <f>IF(K26="","",K26*Parameters!$B$2)</f>
        <v>144000</v>
      </c>
      <c r="M26">
        <f t="shared" si="1"/>
        <v>1008108</v>
      </c>
      <c r="N26">
        <v>520</v>
      </c>
      <c r="O26">
        <f>IF(N26="","",N26*Parameters!$B$2)</f>
        <v>166400</v>
      </c>
      <c r="P26">
        <f t="shared" si="2"/>
        <v>1030508</v>
      </c>
    </row>
    <row r="27" spans="1:16">
      <c r="A27" t="s">
        <v>438</v>
      </c>
      <c r="B27" t="s">
        <v>457</v>
      </c>
      <c r="C27" t="s">
        <v>15</v>
      </c>
      <c r="D27" t="s">
        <v>16</v>
      </c>
      <c r="E27" t="s">
        <v>17</v>
      </c>
      <c r="F27" s="2">
        <v>4114800</v>
      </c>
      <c r="G27">
        <f>IF(F27="","",F27*Parameters!$B$1)</f>
        <v>864108</v>
      </c>
      <c r="H27">
        <v>1000</v>
      </c>
      <c r="I27">
        <f>IF(H27="","",H27*Parameters!$B$2)</f>
        <v>320000</v>
      </c>
      <c r="J27">
        <f t="shared" si="0"/>
        <v>1184108</v>
      </c>
      <c r="K27">
        <v>450</v>
      </c>
      <c r="L27">
        <f>IF(K27="","",K27*Parameters!$B$2)</f>
        <v>144000</v>
      </c>
      <c r="M27">
        <f t="shared" si="1"/>
        <v>1008108</v>
      </c>
      <c r="N27">
        <v>520</v>
      </c>
      <c r="O27">
        <f>IF(N27="","",N27*Parameters!$B$2)</f>
        <v>166400</v>
      </c>
      <c r="P27">
        <f t="shared" si="2"/>
        <v>1030508</v>
      </c>
    </row>
    <row r="28" spans="1:16">
      <c r="A28" t="s">
        <v>438</v>
      </c>
      <c r="B28" t="s">
        <v>458</v>
      </c>
      <c r="C28" t="s">
        <v>15</v>
      </c>
      <c r="D28" t="s">
        <v>16</v>
      </c>
      <c r="E28" t="s">
        <v>17</v>
      </c>
      <c r="F28" s="2">
        <v>4114800</v>
      </c>
      <c r="G28">
        <f>IF(F28="","",F28*Parameters!$B$1)</f>
        <v>864108</v>
      </c>
      <c r="H28">
        <v>1000</v>
      </c>
      <c r="I28">
        <f>IF(H28="","",H28*Parameters!$B$2)</f>
        <v>320000</v>
      </c>
      <c r="J28">
        <f t="shared" si="0"/>
        <v>1184108</v>
      </c>
      <c r="K28">
        <v>450</v>
      </c>
      <c r="L28">
        <f>IF(K28="","",K28*Parameters!$B$2)</f>
        <v>144000</v>
      </c>
      <c r="M28">
        <f t="shared" si="1"/>
        <v>1008108</v>
      </c>
      <c r="N28">
        <v>520</v>
      </c>
      <c r="O28">
        <f>IF(N28="","",N28*Parameters!$B$2)</f>
        <v>166400</v>
      </c>
      <c r="P28">
        <f t="shared" si="2"/>
        <v>1030508</v>
      </c>
    </row>
    <row r="29" spans="1:16">
      <c r="A29" t="s">
        <v>438</v>
      </c>
      <c r="B29" t="s">
        <v>459</v>
      </c>
      <c r="C29" t="s">
        <v>15</v>
      </c>
      <c r="D29" t="s">
        <v>16</v>
      </c>
      <c r="E29" t="s">
        <v>17</v>
      </c>
      <c r="F29" s="2">
        <v>4114800</v>
      </c>
      <c r="G29">
        <f>IF(F29="","",F29*Parameters!$B$1)</f>
        <v>864108</v>
      </c>
      <c r="H29">
        <v>1000</v>
      </c>
      <c r="I29">
        <f>IF(H29="","",H29*Parameters!$B$2)</f>
        <v>320000</v>
      </c>
      <c r="J29">
        <f t="shared" si="0"/>
        <v>1184108</v>
      </c>
      <c r="K29">
        <v>450</v>
      </c>
      <c r="L29">
        <f>IF(K29="","",K29*Parameters!$B$2)</f>
        <v>144000</v>
      </c>
      <c r="M29">
        <f t="shared" si="1"/>
        <v>1008108</v>
      </c>
      <c r="N29">
        <v>520</v>
      </c>
      <c r="O29">
        <f>IF(N29="","",N29*Parameters!$B$2)</f>
        <v>166400</v>
      </c>
      <c r="P29">
        <f t="shared" si="2"/>
        <v>1030508</v>
      </c>
    </row>
    <row r="30" spans="1:16">
      <c r="A30" t="s">
        <v>438</v>
      </c>
      <c r="B30" t="s">
        <v>460</v>
      </c>
      <c r="C30" t="s">
        <v>15</v>
      </c>
      <c r="D30" t="s">
        <v>16</v>
      </c>
      <c r="E30" t="s">
        <v>17</v>
      </c>
      <c r="F30" s="2">
        <v>4114800</v>
      </c>
      <c r="G30">
        <f>IF(F30="","",F30*Parameters!$B$1)</f>
        <v>864108</v>
      </c>
      <c r="H30">
        <v>1000</v>
      </c>
      <c r="I30">
        <f>IF(H30="","",H30*Parameters!$B$2)</f>
        <v>320000</v>
      </c>
      <c r="J30">
        <f t="shared" si="0"/>
        <v>1184108</v>
      </c>
      <c r="K30">
        <v>450</v>
      </c>
      <c r="L30">
        <f>IF(K30="","",K30*Parameters!$B$2)</f>
        <v>144000</v>
      </c>
      <c r="M30">
        <f t="shared" si="1"/>
        <v>1008108</v>
      </c>
      <c r="N30">
        <v>520</v>
      </c>
      <c r="O30">
        <f>IF(N30="","",N30*Parameters!$B$2)</f>
        <v>166400</v>
      </c>
      <c r="P30">
        <f t="shared" si="2"/>
        <v>1030508</v>
      </c>
    </row>
    <row r="31" spans="1:16" ht="45">
      <c r="A31" t="s">
        <v>438</v>
      </c>
      <c r="B31" s="1" t="s">
        <v>461</v>
      </c>
      <c r="C31" t="s">
        <v>15</v>
      </c>
      <c r="D31" t="s">
        <v>16</v>
      </c>
      <c r="E31" t="s">
        <v>17</v>
      </c>
      <c r="F31" s="2">
        <v>3545580</v>
      </c>
      <c r="G31">
        <f>IF(F31="","",F31*Parameters!$B$1)</f>
        <v>744571.79999999993</v>
      </c>
      <c r="H31">
        <v>1000</v>
      </c>
      <c r="I31">
        <f>IF(H31="","",H31*Parameters!$B$2)</f>
        <v>320000</v>
      </c>
      <c r="J31">
        <f t="shared" si="0"/>
        <v>1064571.7999999998</v>
      </c>
      <c r="K31">
        <v>450</v>
      </c>
      <c r="L31">
        <f>IF(K31="","",K31*Parameters!$B$2)</f>
        <v>144000</v>
      </c>
      <c r="M31">
        <f t="shared" si="1"/>
        <v>888571.79999999993</v>
      </c>
      <c r="N31">
        <v>520</v>
      </c>
      <c r="O31">
        <f>IF(N31="","",N31*Parameters!$B$2)</f>
        <v>166400</v>
      </c>
      <c r="P31">
        <f t="shared" si="2"/>
        <v>910971.79999999993</v>
      </c>
    </row>
    <row r="32" spans="1:16">
      <c r="A32" t="s">
        <v>438</v>
      </c>
      <c r="B32" t="s">
        <v>133</v>
      </c>
      <c r="C32" t="s">
        <v>15</v>
      </c>
      <c r="D32" t="s">
        <v>16</v>
      </c>
      <c r="E32" t="s">
        <v>17</v>
      </c>
      <c r="F32" s="2">
        <v>3545580</v>
      </c>
      <c r="G32">
        <f>IF(F32="","",F32*Parameters!$B$1)</f>
        <v>744571.79999999993</v>
      </c>
      <c r="H32">
        <v>1000</v>
      </c>
      <c r="I32">
        <f>IF(H32="","",H32*Parameters!$B$2)</f>
        <v>320000</v>
      </c>
      <c r="J32">
        <f t="shared" si="0"/>
        <v>1064571.7999999998</v>
      </c>
      <c r="K32">
        <v>450</v>
      </c>
      <c r="L32">
        <f>IF(K32="","",K32*Parameters!$B$2)</f>
        <v>144000</v>
      </c>
      <c r="M32">
        <f t="shared" si="1"/>
        <v>888571.79999999993</v>
      </c>
      <c r="N32">
        <v>520</v>
      </c>
      <c r="O32">
        <f>IF(N32="","",N32*Parameters!$B$2)</f>
        <v>166400</v>
      </c>
      <c r="P32">
        <f t="shared" si="2"/>
        <v>910971.79999999993</v>
      </c>
    </row>
    <row r="33" spans="1:16">
      <c r="A33" t="s">
        <v>438</v>
      </c>
      <c r="B33" t="s">
        <v>462</v>
      </c>
      <c r="C33" t="s">
        <v>15</v>
      </c>
      <c r="D33" t="s">
        <v>16</v>
      </c>
      <c r="E33" t="s">
        <v>17</v>
      </c>
      <c r="F33" s="2">
        <v>3545580</v>
      </c>
      <c r="G33">
        <f>IF(F33="","",F33*Parameters!$B$1)</f>
        <v>744571.79999999993</v>
      </c>
      <c r="H33">
        <v>1000</v>
      </c>
      <c r="I33">
        <f>IF(H33="","",H33*Parameters!$B$2)</f>
        <v>320000</v>
      </c>
      <c r="J33">
        <f t="shared" si="0"/>
        <v>1064571.7999999998</v>
      </c>
      <c r="K33">
        <v>450</v>
      </c>
      <c r="L33">
        <f>IF(K33="","",K33*Parameters!$B$2)</f>
        <v>144000</v>
      </c>
      <c r="M33">
        <f t="shared" si="1"/>
        <v>888571.79999999993</v>
      </c>
      <c r="N33">
        <v>520</v>
      </c>
      <c r="O33">
        <f>IF(N33="","",N33*Parameters!$B$2)</f>
        <v>166400</v>
      </c>
      <c r="P33">
        <f t="shared" si="2"/>
        <v>910971.79999999993</v>
      </c>
    </row>
    <row r="34" spans="1:16">
      <c r="A34" t="s">
        <v>438</v>
      </c>
      <c r="B34" t="s">
        <v>463</v>
      </c>
      <c r="C34" t="s">
        <v>15</v>
      </c>
      <c r="D34" t="s">
        <v>16</v>
      </c>
      <c r="E34" t="s">
        <v>17</v>
      </c>
      <c r="F34" s="2">
        <v>3545580</v>
      </c>
      <c r="G34">
        <f>IF(F34="","",F34*Parameters!$B$1)</f>
        <v>744571.79999999993</v>
      </c>
      <c r="H34">
        <v>1000</v>
      </c>
      <c r="I34">
        <f>IF(H34="","",H34*Parameters!$B$2)</f>
        <v>320000</v>
      </c>
      <c r="J34">
        <f t="shared" ref="J34:J65" si="3">IF(OR(G34="",I34=""),"",G34+I34)</f>
        <v>1064571.7999999998</v>
      </c>
      <c r="K34">
        <v>450</v>
      </c>
      <c r="L34">
        <f>IF(K34="","",K34*Parameters!$B$2)</f>
        <v>144000</v>
      </c>
      <c r="M34">
        <f t="shared" ref="M34:M65" si="4">IF(OR(G34="",L34=""),"",G34+L34)</f>
        <v>888571.79999999993</v>
      </c>
      <c r="N34">
        <v>520</v>
      </c>
      <c r="O34">
        <f>IF(N34="","",N34*Parameters!$B$2)</f>
        <v>166400</v>
      </c>
      <c r="P34">
        <f t="shared" ref="P34:P65" si="5">IF(OR(G34="",O34=""),"",G34+O34)</f>
        <v>910971.79999999993</v>
      </c>
    </row>
    <row r="35" spans="1:16">
      <c r="A35" t="s">
        <v>438</v>
      </c>
      <c r="B35" t="s">
        <v>128</v>
      </c>
      <c r="C35" t="s">
        <v>15</v>
      </c>
      <c r="D35" t="s">
        <v>16</v>
      </c>
      <c r="E35" t="s">
        <v>17</v>
      </c>
      <c r="F35" s="2">
        <v>3545580</v>
      </c>
      <c r="G35">
        <f>IF(F35="","",F35*Parameters!$B$1)</f>
        <v>744571.79999999993</v>
      </c>
      <c r="H35">
        <v>1000</v>
      </c>
      <c r="I35">
        <f>IF(H35="","",H35*Parameters!$B$2)</f>
        <v>320000</v>
      </c>
      <c r="J35">
        <f t="shared" si="3"/>
        <v>1064571.7999999998</v>
      </c>
      <c r="K35">
        <v>450</v>
      </c>
      <c r="L35">
        <f>IF(K35="","",K35*Parameters!$B$2)</f>
        <v>144000</v>
      </c>
      <c r="M35">
        <f t="shared" si="4"/>
        <v>888571.79999999993</v>
      </c>
      <c r="N35">
        <v>520</v>
      </c>
      <c r="O35">
        <f>IF(N35="","",N35*Parameters!$B$2)</f>
        <v>166400</v>
      </c>
      <c r="P35">
        <f t="shared" si="5"/>
        <v>910971.79999999993</v>
      </c>
    </row>
    <row r="36" spans="1:16">
      <c r="A36" t="s">
        <v>438</v>
      </c>
      <c r="B36" t="s">
        <v>464</v>
      </c>
      <c r="C36" t="s">
        <v>15</v>
      </c>
      <c r="D36" t="s">
        <v>16</v>
      </c>
      <c r="E36" t="s">
        <v>17</v>
      </c>
      <c r="F36" s="2">
        <v>3545580</v>
      </c>
      <c r="G36">
        <f>IF(F36="","",F36*Parameters!$B$1)</f>
        <v>744571.79999999993</v>
      </c>
      <c r="H36">
        <v>1000</v>
      </c>
      <c r="I36">
        <f>IF(H36="","",H36*Parameters!$B$2)</f>
        <v>320000</v>
      </c>
      <c r="J36">
        <f t="shared" si="3"/>
        <v>1064571.7999999998</v>
      </c>
      <c r="K36">
        <v>450</v>
      </c>
      <c r="L36">
        <f>IF(K36="","",K36*Parameters!$B$2)</f>
        <v>144000</v>
      </c>
      <c r="M36">
        <f t="shared" si="4"/>
        <v>888571.79999999993</v>
      </c>
      <c r="N36">
        <v>520</v>
      </c>
      <c r="O36">
        <f>IF(N36="","",N36*Parameters!$B$2)</f>
        <v>166400</v>
      </c>
      <c r="P36">
        <f t="shared" si="5"/>
        <v>910971.79999999993</v>
      </c>
    </row>
    <row r="37" spans="1:16">
      <c r="A37" t="s">
        <v>438</v>
      </c>
      <c r="B37" t="s">
        <v>465</v>
      </c>
      <c r="C37" t="s">
        <v>15</v>
      </c>
      <c r="D37" t="s">
        <v>16</v>
      </c>
      <c r="E37" t="s">
        <v>17</v>
      </c>
      <c r="F37" s="2">
        <v>3545580</v>
      </c>
      <c r="G37">
        <f>IF(F37="","",F37*Parameters!$B$1)</f>
        <v>744571.79999999993</v>
      </c>
      <c r="H37">
        <v>1000</v>
      </c>
      <c r="I37">
        <f>IF(H37="","",H37*Parameters!$B$2)</f>
        <v>320000</v>
      </c>
      <c r="J37">
        <f t="shared" si="3"/>
        <v>1064571.7999999998</v>
      </c>
      <c r="K37">
        <v>450</v>
      </c>
      <c r="L37">
        <f>IF(K37="","",K37*Parameters!$B$2)</f>
        <v>144000</v>
      </c>
      <c r="M37">
        <f t="shared" si="4"/>
        <v>888571.79999999993</v>
      </c>
      <c r="N37">
        <v>520</v>
      </c>
      <c r="O37">
        <f>IF(N37="","",N37*Parameters!$B$2)</f>
        <v>166400</v>
      </c>
      <c r="P37">
        <f t="shared" si="5"/>
        <v>910971.79999999993</v>
      </c>
    </row>
    <row r="38" spans="1:16">
      <c r="A38" t="s">
        <v>438</v>
      </c>
      <c r="B38" t="s">
        <v>466</v>
      </c>
      <c r="C38" t="s">
        <v>15</v>
      </c>
      <c r="D38" t="s">
        <v>16</v>
      </c>
      <c r="E38" t="s">
        <v>17</v>
      </c>
      <c r="F38" s="2">
        <v>3545580</v>
      </c>
      <c r="G38">
        <f>IF(F38="","",F38*Parameters!$B$1)</f>
        <v>744571.79999999993</v>
      </c>
      <c r="H38">
        <v>1000</v>
      </c>
      <c r="I38">
        <f>IF(H38="","",H38*Parameters!$B$2)</f>
        <v>320000</v>
      </c>
      <c r="J38">
        <f t="shared" si="3"/>
        <v>1064571.7999999998</v>
      </c>
      <c r="K38">
        <v>450</v>
      </c>
      <c r="L38">
        <f>IF(K38="","",K38*Parameters!$B$2)</f>
        <v>144000</v>
      </c>
      <c r="M38">
        <f t="shared" si="4"/>
        <v>888571.79999999993</v>
      </c>
      <c r="N38">
        <v>520</v>
      </c>
      <c r="O38">
        <f>IF(N38="","",N38*Parameters!$B$2)</f>
        <v>166400</v>
      </c>
      <c r="P38">
        <f t="shared" si="5"/>
        <v>910971.79999999993</v>
      </c>
    </row>
    <row r="39" spans="1:16">
      <c r="A39" t="s">
        <v>438</v>
      </c>
      <c r="B39" t="s">
        <v>467</v>
      </c>
      <c r="C39" t="s">
        <v>15</v>
      </c>
      <c r="D39" t="s">
        <v>16</v>
      </c>
      <c r="E39" t="s">
        <v>17</v>
      </c>
      <c r="F39" s="2">
        <v>4133210</v>
      </c>
      <c r="G39">
        <f>IF(F39="","",F39*Parameters!$B$1)</f>
        <v>867974.1</v>
      </c>
      <c r="H39">
        <v>1000</v>
      </c>
      <c r="I39">
        <f>IF(H39="","",H39*Parameters!$B$2)</f>
        <v>320000</v>
      </c>
      <c r="J39">
        <f t="shared" si="3"/>
        <v>1187974.1000000001</v>
      </c>
      <c r="K39">
        <v>450</v>
      </c>
      <c r="L39">
        <f>IF(K39="","",K39*Parameters!$B$2)</f>
        <v>144000</v>
      </c>
      <c r="M39">
        <f t="shared" si="4"/>
        <v>1011974.1</v>
      </c>
      <c r="N39">
        <v>520</v>
      </c>
      <c r="O39">
        <f>IF(N39="","",N39*Parameters!$B$2)</f>
        <v>166400</v>
      </c>
      <c r="P39">
        <f t="shared" si="5"/>
        <v>1034374.1</v>
      </c>
    </row>
    <row r="40" spans="1:16">
      <c r="A40" t="s">
        <v>438</v>
      </c>
      <c r="B40" t="s">
        <v>468</v>
      </c>
      <c r="C40" t="s">
        <v>15</v>
      </c>
      <c r="D40" t="s">
        <v>16</v>
      </c>
      <c r="E40" t="s">
        <v>17</v>
      </c>
      <c r="F40" s="2">
        <v>4133210</v>
      </c>
      <c r="G40">
        <f>IF(F40="","",F40*Parameters!$B$1)</f>
        <v>867974.1</v>
      </c>
      <c r="H40">
        <v>1000</v>
      </c>
      <c r="I40">
        <f>IF(H40="","",H40*Parameters!$B$2)</f>
        <v>320000</v>
      </c>
      <c r="J40">
        <f t="shared" si="3"/>
        <v>1187974.1000000001</v>
      </c>
      <c r="K40">
        <v>450</v>
      </c>
      <c r="L40">
        <f>IF(K40="","",K40*Parameters!$B$2)</f>
        <v>144000</v>
      </c>
      <c r="M40">
        <f t="shared" si="4"/>
        <v>1011974.1</v>
      </c>
      <c r="N40">
        <v>520</v>
      </c>
      <c r="O40">
        <f>IF(N40="","",N40*Parameters!$B$2)</f>
        <v>166400</v>
      </c>
      <c r="P40">
        <f t="shared" si="5"/>
        <v>1034374.1</v>
      </c>
    </row>
    <row r="41" spans="1:16">
      <c r="A41" t="s">
        <v>438</v>
      </c>
      <c r="B41" t="s">
        <v>169</v>
      </c>
      <c r="C41" t="s">
        <v>15</v>
      </c>
      <c r="D41" t="s">
        <v>16</v>
      </c>
      <c r="E41" t="s">
        <v>17</v>
      </c>
      <c r="F41" s="2">
        <v>4133210</v>
      </c>
      <c r="G41">
        <f>IF(F41="","",F41*Parameters!$B$1)</f>
        <v>867974.1</v>
      </c>
      <c r="H41">
        <v>1000</v>
      </c>
      <c r="I41">
        <f>IF(H41="","",H41*Parameters!$B$2)</f>
        <v>320000</v>
      </c>
      <c r="J41">
        <f t="shared" si="3"/>
        <v>1187974.1000000001</v>
      </c>
      <c r="K41">
        <v>450</v>
      </c>
      <c r="L41">
        <f>IF(K41="","",K41*Parameters!$B$2)</f>
        <v>144000</v>
      </c>
      <c r="M41">
        <f t="shared" si="4"/>
        <v>1011974.1</v>
      </c>
      <c r="N41">
        <v>520</v>
      </c>
      <c r="O41">
        <f>IF(N41="","",N41*Parameters!$B$2)</f>
        <v>166400</v>
      </c>
      <c r="P41">
        <f t="shared" si="5"/>
        <v>1034374.1</v>
      </c>
    </row>
    <row r="42" spans="1:16">
      <c r="A42" t="s">
        <v>438</v>
      </c>
      <c r="B42" t="s">
        <v>469</v>
      </c>
      <c r="C42" t="s">
        <v>15</v>
      </c>
      <c r="D42" t="s">
        <v>16</v>
      </c>
      <c r="E42" t="s">
        <v>17</v>
      </c>
      <c r="F42" s="2">
        <v>4133210</v>
      </c>
      <c r="G42">
        <f>IF(F42="","",F42*Parameters!$B$1)</f>
        <v>867974.1</v>
      </c>
      <c r="H42">
        <v>1000</v>
      </c>
      <c r="I42">
        <f>IF(H42="","",H42*Parameters!$B$2)</f>
        <v>320000</v>
      </c>
      <c r="J42">
        <f t="shared" si="3"/>
        <v>1187974.1000000001</v>
      </c>
      <c r="K42">
        <v>450</v>
      </c>
      <c r="L42">
        <f>IF(K42="","",K42*Parameters!$B$2)</f>
        <v>144000</v>
      </c>
      <c r="M42">
        <f t="shared" si="4"/>
        <v>1011974.1</v>
      </c>
      <c r="N42">
        <v>520</v>
      </c>
      <c r="O42">
        <f>IF(N42="","",N42*Parameters!$B$2)</f>
        <v>166400</v>
      </c>
      <c r="P42">
        <f t="shared" si="5"/>
        <v>1034374.1</v>
      </c>
    </row>
    <row r="43" spans="1:16">
      <c r="A43" t="s">
        <v>438</v>
      </c>
      <c r="B43" t="s">
        <v>470</v>
      </c>
      <c r="C43" t="s">
        <v>15</v>
      </c>
      <c r="D43" t="s">
        <v>16</v>
      </c>
      <c r="E43" t="s">
        <v>17</v>
      </c>
      <c r="F43" s="2">
        <v>4133210</v>
      </c>
      <c r="G43">
        <f>IF(F43="","",F43*Parameters!$B$1)</f>
        <v>867974.1</v>
      </c>
      <c r="H43">
        <v>1000</v>
      </c>
      <c r="I43">
        <f>IF(H43="","",H43*Parameters!$B$2)</f>
        <v>320000</v>
      </c>
      <c r="J43">
        <f t="shared" si="3"/>
        <v>1187974.1000000001</v>
      </c>
      <c r="K43">
        <v>450</v>
      </c>
      <c r="L43">
        <f>IF(K43="","",K43*Parameters!$B$2)</f>
        <v>144000</v>
      </c>
      <c r="M43">
        <f t="shared" si="4"/>
        <v>1011974.1</v>
      </c>
      <c r="N43">
        <v>520</v>
      </c>
      <c r="O43">
        <f>IF(N43="","",N43*Parameters!$B$2)</f>
        <v>166400</v>
      </c>
      <c r="P43">
        <f t="shared" si="5"/>
        <v>1034374.1</v>
      </c>
    </row>
    <row r="44" spans="1:16" ht="60">
      <c r="A44" t="s">
        <v>438</v>
      </c>
      <c r="B44" s="1" t="s">
        <v>471</v>
      </c>
      <c r="C44" t="s">
        <v>15</v>
      </c>
      <c r="D44" t="s">
        <v>16</v>
      </c>
      <c r="E44" t="s">
        <v>17</v>
      </c>
      <c r="F44" s="2">
        <v>4044180</v>
      </c>
      <c r="G44">
        <f>IF(F44="","",F44*Parameters!$B$1)</f>
        <v>849277.79999999993</v>
      </c>
      <c r="H44">
        <v>1000</v>
      </c>
      <c r="I44">
        <f>IF(H44="","",H44*Parameters!$B$2)</f>
        <v>320000</v>
      </c>
      <c r="J44">
        <f t="shared" si="3"/>
        <v>1169277.7999999998</v>
      </c>
      <c r="K44">
        <v>450</v>
      </c>
      <c r="L44">
        <f>IF(K44="","",K44*Parameters!$B$2)</f>
        <v>144000</v>
      </c>
      <c r="M44">
        <f t="shared" si="4"/>
        <v>993277.79999999993</v>
      </c>
      <c r="N44">
        <v>520</v>
      </c>
      <c r="O44">
        <f>IF(N44="","",N44*Parameters!$B$2)</f>
        <v>166400</v>
      </c>
      <c r="P44">
        <f t="shared" si="5"/>
        <v>1015677.7999999999</v>
      </c>
    </row>
    <row r="45" spans="1:16">
      <c r="A45" t="s">
        <v>438</v>
      </c>
      <c r="B45" t="s">
        <v>472</v>
      </c>
      <c r="C45" t="s">
        <v>15</v>
      </c>
      <c r="D45" t="s">
        <v>16</v>
      </c>
      <c r="E45" t="s">
        <v>17</v>
      </c>
      <c r="F45" s="2">
        <v>4044180</v>
      </c>
      <c r="G45">
        <f>IF(F45="","",F45*Parameters!$B$1)</f>
        <v>849277.79999999993</v>
      </c>
      <c r="H45">
        <v>1000</v>
      </c>
      <c r="I45">
        <f>IF(H45="","",H45*Parameters!$B$2)</f>
        <v>320000</v>
      </c>
      <c r="J45">
        <f t="shared" si="3"/>
        <v>1169277.7999999998</v>
      </c>
      <c r="K45">
        <v>450</v>
      </c>
      <c r="L45">
        <f>IF(K45="","",K45*Parameters!$B$2)</f>
        <v>144000</v>
      </c>
      <c r="M45">
        <f t="shared" si="4"/>
        <v>993277.79999999993</v>
      </c>
      <c r="N45">
        <v>520</v>
      </c>
      <c r="O45">
        <f>IF(N45="","",N45*Parameters!$B$2)</f>
        <v>166400</v>
      </c>
      <c r="P45">
        <f t="shared" si="5"/>
        <v>1015677.7999999999</v>
      </c>
    </row>
    <row r="46" spans="1:16">
      <c r="A46" t="s">
        <v>438</v>
      </c>
      <c r="B46" t="s">
        <v>473</v>
      </c>
      <c r="C46" t="s">
        <v>15</v>
      </c>
      <c r="D46" t="s">
        <v>16</v>
      </c>
      <c r="E46" t="s">
        <v>17</v>
      </c>
      <c r="F46" s="2">
        <v>4044180</v>
      </c>
      <c r="G46">
        <f>IF(F46="","",F46*Parameters!$B$1)</f>
        <v>849277.79999999993</v>
      </c>
      <c r="H46">
        <v>1000</v>
      </c>
      <c r="I46">
        <f>IF(H46="","",H46*Parameters!$B$2)</f>
        <v>320000</v>
      </c>
      <c r="J46">
        <f t="shared" si="3"/>
        <v>1169277.7999999998</v>
      </c>
      <c r="K46">
        <v>450</v>
      </c>
      <c r="L46">
        <f>IF(K46="","",K46*Parameters!$B$2)</f>
        <v>144000</v>
      </c>
      <c r="M46">
        <f t="shared" si="4"/>
        <v>993277.79999999993</v>
      </c>
      <c r="N46">
        <v>520</v>
      </c>
      <c r="O46">
        <f>IF(N46="","",N46*Parameters!$B$2)</f>
        <v>166400</v>
      </c>
      <c r="P46">
        <f t="shared" si="5"/>
        <v>1015677.7999999999</v>
      </c>
    </row>
    <row r="47" spans="1:16">
      <c r="A47" t="s">
        <v>438</v>
      </c>
      <c r="B47" t="s">
        <v>55</v>
      </c>
      <c r="C47" t="s">
        <v>15</v>
      </c>
      <c r="D47" t="s">
        <v>16</v>
      </c>
      <c r="E47" t="s">
        <v>17</v>
      </c>
      <c r="F47" s="2">
        <v>4044180</v>
      </c>
      <c r="G47">
        <f>IF(F47="","",F47*Parameters!$B$1)</f>
        <v>849277.79999999993</v>
      </c>
      <c r="H47">
        <v>1000</v>
      </c>
      <c r="I47">
        <f>IF(H47="","",H47*Parameters!$B$2)</f>
        <v>320000</v>
      </c>
      <c r="J47">
        <f t="shared" si="3"/>
        <v>1169277.7999999998</v>
      </c>
      <c r="K47">
        <v>450</v>
      </c>
      <c r="L47">
        <f>IF(K47="","",K47*Parameters!$B$2)</f>
        <v>144000</v>
      </c>
      <c r="M47">
        <f t="shared" si="4"/>
        <v>993277.79999999993</v>
      </c>
      <c r="N47">
        <v>520</v>
      </c>
      <c r="O47">
        <f>IF(N47="","",N47*Parameters!$B$2)</f>
        <v>166400</v>
      </c>
      <c r="P47">
        <f t="shared" si="5"/>
        <v>1015677.7999999999</v>
      </c>
    </row>
    <row r="48" spans="1:16">
      <c r="A48" t="s">
        <v>438</v>
      </c>
      <c r="B48" t="s">
        <v>474</v>
      </c>
      <c r="C48" t="s">
        <v>15</v>
      </c>
      <c r="D48" t="s">
        <v>16</v>
      </c>
      <c r="E48" t="s">
        <v>17</v>
      </c>
      <c r="F48" s="2">
        <v>4044180</v>
      </c>
      <c r="G48">
        <f>IF(F48="","",F48*Parameters!$B$1)</f>
        <v>849277.79999999993</v>
      </c>
      <c r="H48">
        <v>1000</v>
      </c>
      <c r="I48">
        <f>IF(H48="","",H48*Parameters!$B$2)</f>
        <v>320000</v>
      </c>
      <c r="J48">
        <f t="shared" si="3"/>
        <v>1169277.7999999998</v>
      </c>
      <c r="K48">
        <v>450</v>
      </c>
      <c r="L48">
        <f>IF(K48="","",K48*Parameters!$B$2)</f>
        <v>144000</v>
      </c>
      <c r="M48">
        <f t="shared" si="4"/>
        <v>993277.79999999993</v>
      </c>
      <c r="N48">
        <v>520</v>
      </c>
      <c r="O48">
        <f>IF(N48="","",N48*Parameters!$B$2)</f>
        <v>166400</v>
      </c>
      <c r="P48">
        <f t="shared" si="5"/>
        <v>1015677.7999999999</v>
      </c>
    </row>
    <row r="49" spans="1:16">
      <c r="A49" t="s">
        <v>438</v>
      </c>
      <c r="B49" t="s">
        <v>475</v>
      </c>
      <c r="C49" t="s">
        <v>15</v>
      </c>
      <c r="D49" t="s">
        <v>16</v>
      </c>
      <c r="E49" t="s">
        <v>17</v>
      </c>
      <c r="F49" s="2">
        <v>4044180</v>
      </c>
      <c r="G49">
        <f>IF(F49="","",F49*Parameters!$B$1)</f>
        <v>849277.79999999993</v>
      </c>
      <c r="H49">
        <v>1000</v>
      </c>
      <c r="I49">
        <f>IF(H49="","",H49*Parameters!$B$2)</f>
        <v>320000</v>
      </c>
      <c r="J49">
        <f t="shared" si="3"/>
        <v>1169277.7999999998</v>
      </c>
      <c r="K49">
        <v>450</v>
      </c>
      <c r="L49">
        <f>IF(K49="","",K49*Parameters!$B$2)</f>
        <v>144000</v>
      </c>
      <c r="M49">
        <f t="shared" si="4"/>
        <v>993277.79999999993</v>
      </c>
      <c r="N49">
        <v>520</v>
      </c>
      <c r="O49">
        <f>IF(N49="","",N49*Parameters!$B$2)</f>
        <v>166400</v>
      </c>
      <c r="P49">
        <f t="shared" si="5"/>
        <v>1015677.7999999999</v>
      </c>
    </row>
    <row r="50" spans="1:16">
      <c r="A50" t="s">
        <v>438</v>
      </c>
      <c r="B50" t="s">
        <v>154</v>
      </c>
      <c r="C50" t="s">
        <v>15</v>
      </c>
      <c r="D50" t="s">
        <v>16</v>
      </c>
      <c r="E50" t="s">
        <v>476</v>
      </c>
      <c r="F50" s="2">
        <v>3870050</v>
      </c>
      <c r="G50">
        <f>IF(F50="","",F50*Parameters!$B$1)</f>
        <v>812710.5</v>
      </c>
      <c r="H50">
        <v>1000</v>
      </c>
      <c r="I50">
        <f>IF(H50="","",H50*Parameters!$B$2)</f>
        <v>320000</v>
      </c>
      <c r="J50">
        <f t="shared" si="3"/>
        <v>1132710.5</v>
      </c>
      <c r="K50">
        <v>450</v>
      </c>
      <c r="L50">
        <f>IF(K50="","",K50*Parameters!$B$2)</f>
        <v>144000</v>
      </c>
      <c r="M50">
        <f t="shared" si="4"/>
        <v>956710.5</v>
      </c>
      <c r="N50">
        <v>520</v>
      </c>
      <c r="O50">
        <f>IF(N50="","",N50*Parameters!$B$2)</f>
        <v>166400</v>
      </c>
      <c r="P50">
        <f t="shared" si="5"/>
        <v>979110.5</v>
      </c>
    </row>
    <row r="51" spans="1:16">
      <c r="A51" t="s">
        <v>438</v>
      </c>
      <c r="B51" t="s">
        <v>477</v>
      </c>
      <c r="C51" t="s">
        <v>15</v>
      </c>
      <c r="D51" t="s">
        <v>16</v>
      </c>
      <c r="E51" t="s">
        <v>476</v>
      </c>
      <c r="F51" s="2">
        <v>3870050</v>
      </c>
      <c r="G51">
        <f>IF(F51="","",F51*Parameters!$B$1)</f>
        <v>812710.5</v>
      </c>
      <c r="H51">
        <v>1000</v>
      </c>
      <c r="I51">
        <f>IF(H51="","",H51*Parameters!$B$2)</f>
        <v>320000</v>
      </c>
      <c r="J51">
        <f t="shared" si="3"/>
        <v>1132710.5</v>
      </c>
      <c r="K51">
        <v>450</v>
      </c>
      <c r="L51">
        <f>IF(K51="","",K51*Parameters!$B$2)</f>
        <v>144000</v>
      </c>
      <c r="M51">
        <f t="shared" si="4"/>
        <v>956710.5</v>
      </c>
      <c r="N51">
        <v>520</v>
      </c>
      <c r="O51">
        <f>IF(N51="","",N51*Parameters!$B$2)</f>
        <v>166400</v>
      </c>
      <c r="P51">
        <f t="shared" si="5"/>
        <v>979110.5</v>
      </c>
    </row>
    <row r="52" spans="1:16">
      <c r="A52" t="s">
        <v>438</v>
      </c>
      <c r="B52" t="s">
        <v>478</v>
      </c>
      <c r="C52" t="s">
        <v>15</v>
      </c>
      <c r="D52" t="s">
        <v>16</v>
      </c>
      <c r="E52" t="s">
        <v>476</v>
      </c>
      <c r="F52" s="2">
        <v>3870050</v>
      </c>
      <c r="G52">
        <f>IF(F52="","",F52*Parameters!$B$1)</f>
        <v>812710.5</v>
      </c>
      <c r="H52">
        <v>1000</v>
      </c>
      <c r="I52">
        <f>IF(H52="","",H52*Parameters!$B$2)</f>
        <v>320000</v>
      </c>
      <c r="J52">
        <f t="shared" si="3"/>
        <v>1132710.5</v>
      </c>
      <c r="K52">
        <v>450</v>
      </c>
      <c r="L52">
        <f>IF(K52="","",K52*Parameters!$B$2)</f>
        <v>144000</v>
      </c>
      <c r="M52">
        <f t="shared" si="4"/>
        <v>956710.5</v>
      </c>
      <c r="N52">
        <v>520</v>
      </c>
      <c r="O52">
        <f>IF(N52="","",N52*Parameters!$B$2)</f>
        <v>166400</v>
      </c>
      <c r="P52">
        <f t="shared" si="5"/>
        <v>979110.5</v>
      </c>
    </row>
    <row r="53" spans="1:16">
      <c r="A53" t="s">
        <v>438</v>
      </c>
      <c r="B53" t="s">
        <v>479</v>
      </c>
      <c r="C53" t="s">
        <v>15</v>
      </c>
      <c r="D53" t="s">
        <v>16</v>
      </c>
      <c r="E53" t="s">
        <v>476</v>
      </c>
      <c r="F53" s="2">
        <v>3870050</v>
      </c>
      <c r="G53">
        <f>IF(F53="","",F53*Parameters!$B$1)</f>
        <v>812710.5</v>
      </c>
      <c r="H53">
        <v>1000</v>
      </c>
      <c r="I53">
        <f>IF(H53="","",H53*Parameters!$B$2)</f>
        <v>320000</v>
      </c>
      <c r="J53">
        <f t="shared" si="3"/>
        <v>1132710.5</v>
      </c>
      <c r="K53">
        <v>450</v>
      </c>
      <c r="L53">
        <f>IF(K53="","",K53*Parameters!$B$2)</f>
        <v>144000</v>
      </c>
      <c r="M53">
        <f t="shared" si="4"/>
        <v>956710.5</v>
      </c>
      <c r="N53">
        <v>520</v>
      </c>
      <c r="O53">
        <f>IF(N53="","",N53*Parameters!$B$2)</f>
        <v>166400</v>
      </c>
      <c r="P53">
        <f t="shared" si="5"/>
        <v>979110.5</v>
      </c>
    </row>
    <row r="54" spans="1:16">
      <c r="A54" t="s">
        <v>438</v>
      </c>
      <c r="B54" t="s">
        <v>480</v>
      </c>
      <c r="C54" t="s">
        <v>15</v>
      </c>
      <c r="D54" t="s">
        <v>16</v>
      </c>
      <c r="E54" t="s">
        <v>476</v>
      </c>
      <c r="F54" s="2">
        <v>3870050</v>
      </c>
      <c r="G54">
        <f>IF(F54="","",F54*Parameters!$B$1)</f>
        <v>812710.5</v>
      </c>
      <c r="H54">
        <v>1000</v>
      </c>
      <c r="I54">
        <f>IF(H54="","",H54*Parameters!$B$2)</f>
        <v>320000</v>
      </c>
      <c r="J54">
        <f t="shared" si="3"/>
        <v>1132710.5</v>
      </c>
      <c r="K54">
        <v>450</v>
      </c>
      <c r="L54">
        <f>IF(K54="","",K54*Parameters!$B$2)</f>
        <v>144000</v>
      </c>
      <c r="M54">
        <f t="shared" si="4"/>
        <v>956710.5</v>
      </c>
      <c r="N54">
        <v>520</v>
      </c>
      <c r="O54">
        <f>IF(N54="","",N54*Parameters!$B$2)</f>
        <v>166400</v>
      </c>
      <c r="P54">
        <f t="shared" si="5"/>
        <v>979110.5</v>
      </c>
    </row>
    <row r="55" spans="1:16">
      <c r="A55" t="s">
        <v>438</v>
      </c>
      <c r="B55" t="s">
        <v>157</v>
      </c>
      <c r="C55" t="s">
        <v>15</v>
      </c>
      <c r="D55" t="s">
        <v>16</v>
      </c>
      <c r="E55" t="s">
        <v>476</v>
      </c>
      <c r="F55" s="2">
        <v>3870050</v>
      </c>
      <c r="G55">
        <f>IF(F55="","",F55*Parameters!$B$1)</f>
        <v>812710.5</v>
      </c>
      <c r="H55">
        <v>1000</v>
      </c>
      <c r="I55">
        <f>IF(H55="","",H55*Parameters!$B$2)</f>
        <v>320000</v>
      </c>
      <c r="J55">
        <f t="shared" si="3"/>
        <v>1132710.5</v>
      </c>
      <c r="K55">
        <v>450</v>
      </c>
      <c r="L55">
        <f>IF(K55="","",K55*Parameters!$B$2)</f>
        <v>144000</v>
      </c>
      <c r="M55">
        <f t="shared" si="4"/>
        <v>956710.5</v>
      </c>
      <c r="N55">
        <v>520</v>
      </c>
      <c r="O55">
        <f>IF(N55="","",N55*Parameters!$B$2)</f>
        <v>166400</v>
      </c>
      <c r="P55">
        <f t="shared" si="5"/>
        <v>979110.5</v>
      </c>
    </row>
    <row r="56" spans="1:16">
      <c r="A56" t="s">
        <v>438</v>
      </c>
      <c r="B56" t="s">
        <v>481</v>
      </c>
      <c r="C56" t="s">
        <v>15</v>
      </c>
      <c r="D56" t="s">
        <v>16</v>
      </c>
      <c r="E56" t="s">
        <v>476</v>
      </c>
      <c r="F56" s="2">
        <v>3870050</v>
      </c>
      <c r="G56">
        <f>IF(F56="","",F56*Parameters!$B$1)</f>
        <v>812710.5</v>
      </c>
      <c r="H56">
        <v>1000</v>
      </c>
      <c r="I56">
        <f>IF(H56="","",H56*Parameters!$B$2)</f>
        <v>320000</v>
      </c>
      <c r="J56">
        <f t="shared" si="3"/>
        <v>1132710.5</v>
      </c>
      <c r="K56">
        <v>450</v>
      </c>
      <c r="L56">
        <f>IF(K56="","",K56*Parameters!$B$2)</f>
        <v>144000</v>
      </c>
      <c r="M56">
        <f t="shared" si="4"/>
        <v>956710.5</v>
      </c>
      <c r="N56">
        <v>520</v>
      </c>
      <c r="O56">
        <f>IF(N56="","",N56*Parameters!$B$2)</f>
        <v>166400</v>
      </c>
      <c r="P56">
        <f t="shared" si="5"/>
        <v>979110.5</v>
      </c>
    </row>
    <row r="57" spans="1:16">
      <c r="A57" t="s">
        <v>438</v>
      </c>
      <c r="B57" t="s">
        <v>134</v>
      </c>
      <c r="C57" t="s">
        <v>15</v>
      </c>
      <c r="D57" t="s">
        <v>16</v>
      </c>
      <c r="E57" t="s">
        <v>476</v>
      </c>
      <c r="F57" s="2">
        <v>3870050</v>
      </c>
      <c r="G57">
        <f>IF(F57="","",F57*Parameters!$B$1)</f>
        <v>812710.5</v>
      </c>
      <c r="H57">
        <v>1000</v>
      </c>
      <c r="I57">
        <f>IF(H57="","",H57*Parameters!$B$2)</f>
        <v>320000</v>
      </c>
      <c r="J57">
        <f t="shared" si="3"/>
        <v>1132710.5</v>
      </c>
      <c r="K57">
        <v>450</v>
      </c>
      <c r="L57">
        <f>IF(K57="","",K57*Parameters!$B$2)</f>
        <v>144000</v>
      </c>
      <c r="M57">
        <f t="shared" si="4"/>
        <v>956710.5</v>
      </c>
      <c r="N57">
        <v>520</v>
      </c>
      <c r="O57">
        <f>IF(N57="","",N57*Parameters!$B$2)</f>
        <v>166400</v>
      </c>
      <c r="P57">
        <f t="shared" si="5"/>
        <v>979110.5</v>
      </c>
    </row>
    <row r="58" spans="1:16">
      <c r="A58" t="s">
        <v>438</v>
      </c>
      <c r="B58" t="s">
        <v>178</v>
      </c>
      <c r="C58" t="s">
        <v>15</v>
      </c>
      <c r="D58" t="s">
        <v>16</v>
      </c>
      <c r="E58" t="s">
        <v>476</v>
      </c>
      <c r="F58" s="2">
        <v>3870050</v>
      </c>
      <c r="G58">
        <f>IF(F58="","",F58*Parameters!$B$1)</f>
        <v>812710.5</v>
      </c>
      <c r="H58">
        <v>1000</v>
      </c>
      <c r="I58">
        <f>IF(H58="","",H58*Parameters!$B$2)</f>
        <v>320000</v>
      </c>
      <c r="J58">
        <f t="shared" si="3"/>
        <v>1132710.5</v>
      </c>
      <c r="K58">
        <v>450</v>
      </c>
      <c r="L58">
        <f>IF(K58="","",K58*Parameters!$B$2)</f>
        <v>144000</v>
      </c>
      <c r="M58">
        <f t="shared" si="4"/>
        <v>956710.5</v>
      </c>
      <c r="N58">
        <v>520</v>
      </c>
      <c r="O58">
        <f>IF(N58="","",N58*Parameters!$B$2)</f>
        <v>166400</v>
      </c>
      <c r="P58">
        <f t="shared" si="5"/>
        <v>979110.5</v>
      </c>
    </row>
    <row r="59" spans="1:16">
      <c r="A59" t="s">
        <v>438</v>
      </c>
      <c r="B59" t="s">
        <v>482</v>
      </c>
      <c r="C59" t="s">
        <v>15</v>
      </c>
      <c r="D59" t="s">
        <v>16</v>
      </c>
      <c r="E59" t="s">
        <v>476</v>
      </c>
      <c r="F59" s="2">
        <v>3870050</v>
      </c>
      <c r="G59">
        <f>IF(F59="","",F59*Parameters!$B$1)</f>
        <v>812710.5</v>
      </c>
      <c r="H59">
        <v>1000</v>
      </c>
      <c r="I59">
        <f>IF(H59="","",H59*Parameters!$B$2)</f>
        <v>320000</v>
      </c>
      <c r="J59">
        <f t="shared" si="3"/>
        <v>1132710.5</v>
      </c>
      <c r="K59">
        <v>450</v>
      </c>
      <c r="L59">
        <f>IF(K59="","",K59*Parameters!$B$2)</f>
        <v>144000</v>
      </c>
      <c r="M59">
        <f t="shared" si="4"/>
        <v>956710.5</v>
      </c>
      <c r="N59">
        <v>520</v>
      </c>
      <c r="O59">
        <f>IF(N59="","",N59*Parameters!$B$2)</f>
        <v>166400</v>
      </c>
      <c r="P59">
        <f t="shared" si="5"/>
        <v>979110.5</v>
      </c>
    </row>
    <row r="60" spans="1:16">
      <c r="A60" t="s">
        <v>438</v>
      </c>
      <c r="B60" t="s">
        <v>41</v>
      </c>
      <c r="C60" t="s">
        <v>15</v>
      </c>
      <c r="D60" t="s">
        <v>16</v>
      </c>
      <c r="E60" t="s">
        <v>476</v>
      </c>
      <c r="F60" s="2">
        <v>3870050</v>
      </c>
      <c r="G60">
        <f>IF(F60="","",F60*Parameters!$B$1)</f>
        <v>812710.5</v>
      </c>
      <c r="H60">
        <v>1000</v>
      </c>
      <c r="I60">
        <f>IF(H60="","",H60*Parameters!$B$2)</f>
        <v>320000</v>
      </c>
      <c r="J60">
        <f t="shared" si="3"/>
        <v>1132710.5</v>
      </c>
      <c r="K60">
        <v>450</v>
      </c>
      <c r="L60">
        <f>IF(K60="","",K60*Parameters!$B$2)</f>
        <v>144000</v>
      </c>
      <c r="M60">
        <f t="shared" si="4"/>
        <v>956710.5</v>
      </c>
      <c r="N60">
        <v>520</v>
      </c>
      <c r="O60">
        <f>IF(N60="","",N60*Parameters!$B$2)</f>
        <v>166400</v>
      </c>
      <c r="P60">
        <f t="shared" si="5"/>
        <v>979110.5</v>
      </c>
    </row>
    <row r="61" spans="1:16">
      <c r="A61" t="s">
        <v>438</v>
      </c>
      <c r="B61" t="s">
        <v>176</v>
      </c>
      <c r="C61" t="s">
        <v>15</v>
      </c>
      <c r="D61" t="s">
        <v>16</v>
      </c>
      <c r="E61" t="s">
        <v>476</v>
      </c>
      <c r="F61" s="2">
        <v>3870050</v>
      </c>
      <c r="G61">
        <f>IF(F61="","",F61*Parameters!$B$1)</f>
        <v>812710.5</v>
      </c>
      <c r="H61">
        <v>1000</v>
      </c>
      <c r="I61">
        <f>IF(H61="","",H61*Parameters!$B$2)</f>
        <v>320000</v>
      </c>
      <c r="J61">
        <f t="shared" si="3"/>
        <v>1132710.5</v>
      </c>
      <c r="K61">
        <v>450</v>
      </c>
      <c r="L61">
        <f>IF(K61="","",K61*Parameters!$B$2)</f>
        <v>144000</v>
      </c>
      <c r="M61">
        <f t="shared" si="4"/>
        <v>956710.5</v>
      </c>
      <c r="N61">
        <v>520</v>
      </c>
      <c r="O61">
        <f>IF(N61="","",N61*Parameters!$B$2)</f>
        <v>166400</v>
      </c>
      <c r="P61">
        <f t="shared" si="5"/>
        <v>979110.5</v>
      </c>
    </row>
    <row r="62" spans="1:16">
      <c r="A62" t="s">
        <v>438</v>
      </c>
      <c r="B62" t="s">
        <v>204</v>
      </c>
      <c r="C62" t="s">
        <v>15</v>
      </c>
      <c r="D62" t="s">
        <v>16</v>
      </c>
      <c r="E62" t="s">
        <v>50</v>
      </c>
      <c r="F62" s="2">
        <v>3870050</v>
      </c>
      <c r="G62">
        <f>IF(F62="","",F62*Parameters!$B$1)</f>
        <v>812710.5</v>
      </c>
      <c r="H62">
        <v>1000</v>
      </c>
      <c r="I62">
        <f>IF(H62="","",H62*Parameters!$B$2)</f>
        <v>320000</v>
      </c>
      <c r="J62">
        <f t="shared" si="3"/>
        <v>1132710.5</v>
      </c>
      <c r="K62">
        <v>450</v>
      </c>
      <c r="L62">
        <f>IF(K62="","",K62*Parameters!$B$2)</f>
        <v>144000</v>
      </c>
      <c r="M62">
        <f t="shared" si="4"/>
        <v>956710.5</v>
      </c>
      <c r="N62">
        <v>520</v>
      </c>
      <c r="O62">
        <f>IF(N62="","",N62*Parameters!$B$2)</f>
        <v>166400</v>
      </c>
      <c r="P62">
        <f t="shared" si="5"/>
        <v>979110.5</v>
      </c>
    </row>
    <row r="63" spans="1:16">
      <c r="A63" t="s">
        <v>438</v>
      </c>
      <c r="B63" t="s">
        <v>186</v>
      </c>
      <c r="C63" t="s">
        <v>15</v>
      </c>
      <c r="D63" t="s">
        <v>16</v>
      </c>
      <c r="E63" t="s">
        <v>50</v>
      </c>
      <c r="F63" s="2">
        <v>3870050</v>
      </c>
      <c r="G63">
        <f>IF(F63="","",F63*Parameters!$B$1)</f>
        <v>812710.5</v>
      </c>
      <c r="H63">
        <v>1000</v>
      </c>
      <c r="I63">
        <f>IF(H63="","",H63*Parameters!$B$2)</f>
        <v>320000</v>
      </c>
      <c r="J63">
        <f t="shared" si="3"/>
        <v>1132710.5</v>
      </c>
      <c r="K63">
        <v>450</v>
      </c>
      <c r="L63">
        <f>IF(K63="","",K63*Parameters!$B$2)</f>
        <v>144000</v>
      </c>
      <c r="M63">
        <f t="shared" si="4"/>
        <v>956710.5</v>
      </c>
      <c r="N63">
        <v>520</v>
      </c>
      <c r="O63">
        <f>IF(N63="","",N63*Parameters!$B$2)</f>
        <v>166400</v>
      </c>
      <c r="P63">
        <f t="shared" si="5"/>
        <v>979110.5</v>
      </c>
    </row>
    <row r="64" spans="1:16">
      <c r="A64" t="s">
        <v>438</v>
      </c>
      <c r="B64" t="s">
        <v>483</v>
      </c>
      <c r="C64" t="s">
        <v>15</v>
      </c>
      <c r="D64" t="s">
        <v>16</v>
      </c>
      <c r="E64" t="s">
        <v>50</v>
      </c>
      <c r="F64" s="2">
        <v>3870050</v>
      </c>
      <c r="G64">
        <f>IF(F64="","",F64*Parameters!$B$1)</f>
        <v>812710.5</v>
      </c>
      <c r="H64">
        <v>1000</v>
      </c>
      <c r="I64">
        <f>IF(H64="","",H64*Parameters!$B$2)</f>
        <v>320000</v>
      </c>
      <c r="J64">
        <f t="shared" si="3"/>
        <v>1132710.5</v>
      </c>
      <c r="K64">
        <v>450</v>
      </c>
      <c r="L64">
        <f>IF(K64="","",K64*Parameters!$B$2)</f>
        <v>144000</v>
      </c>
      <c r="M64">
        <f t="shared" si="4"/>
        <v>956710.5</v>
      </c>
      <c r="N64">
        <v>520</v>
      </c>
      <c r="O64">
        <f>IF(N64="","",N64*Parameters!$B$2)</f>
        <v>166400</v>
      </c>
      <c r="P64">
        <f t="shared" si="5"/>
        <v>979110.5</v>
      </c>
    </row>
    <row r="65" spans="1:16">
      <c r="A65" t="s">
        <v>438</v>
      </c>
      <c r="B65" t="s">
        <v>484</v>
      </c>
      <c r="C65" t="s">
        <v>15</v>
      </c>
      <c r="D65" t="s">
        <v>16</v>
      </c>
      <c r="E65" t="s">
        <v>50</v>
      </c>
      <c r="F65" s="2">
        <v>3870050</v>
      </c>
      <c r="G65">
        <f>IF(F65="","",F65*Parameters!$B$1)</f>
        <v>812710.5</v>
      </c>
      <c r="H65">
        <v>1000</v>
      </c>
      <c r="I65">
        <f>IF(H65="","",H65*Parameters!$B$2)</f>
        <v>320000</v>
      </c>
      <c r="J65">
        <f t="shared" si="3"/>
        <v>1132710.5</v>
      </c>
      <c r="K65">
        <v>450</v>
      </c>
      <c r="L65">
        <f>IF(K65="","",K65*Parameters!$B$2)</f>
        <v>144000</v>
      </c>
      <c r="M65">
        <f t="shared" si="4"/>
        <v>956710.5</v>
      </c>
      <c r="N65">
        <v>520</v>
      </c>
      <c r="O65">
        <f>IF(N65="","",N65*Parameters!$B$2)</f>
        <v>166400</v>
      </c>
      <c r="P65">
        <f t="shared" si="5"/>
        <v>979110.5</v>
      </c>
    </row>
    <row r="66" spans="1:16">
      <c r="A66" t="s">
        <v>438</v>
      </c>
      <c r="B66" t="s">
        <v>376</v>
      </c>
      <c r="C66" t="s">
        <v>15</v>
      </c>
      <c r="D66" t="s">
        <v>16</v>
      </c>
      <c r="E66" t="s">
        <v>50</v>
      </c>
      <c r="F66" s="2">
        <v>3870050</v>
      </c>
      <c r="G66">
        <f>IF(F66="","",F66*Parameters!$B$1)</f>
        <v>812710.5</v>
      </c>
      <c r="H66">
        <v>1000</v>
      </c>
      <c r="I66">
        <f>IF(H66="","",H66*Parameters!$B$2)</f>
        <v>320000</v>
      </c>
      <c r="J66">
        <f t="shared" ref="J66:J97" si="6">IF(OR(G66="",I66=""),"",G66+I66)</f>
        <v>1132710.5</v>
      </c>
      <c r="K66">
        <v>450</v>
      </c>
      <c r="L66">
        <f>IF(K66="","",K66*Parameters!$B$2)</f>
        <v>144000</v>
      </c>
      <c r="M66">
        <f t="shared" ref="M66:M97" si="7">IF(OR(G66="",L66=""),"",G66+L66)</f>
        <v>956710.5</v>
      </c>
      <c r="N66">
        <v>520</v>
      </c>
      <c r="O66">
        <f>IF(N66="","",N66*Parameters!$B$2)</f>
        <v>166400</v>
      </c>
      <c r="P66">
        <f t="shared" ref="P66:P97" si="8">IF(OR(G66="",O66=""),"",G66+O66)</f>
        <v>979110.5</v>
      </c>
    </row>
    <row r="67" spans="1:16">
      <c r="A67" t="s">
        <v>438</v>
      </c>
      <c r="B67" t="s">
        <v>188</v>
      </c>
      <c r="C67" t="s">
        <v>15</v>
      </c>
      <c r="D67" t="s">
        <v>16</v>
      </c>
      <c r="E67" t="s">
        <v>50</v>
      </c>
      <c r="F67" s="2">
        <v>3870050</v>
      </c>
      <c r="G67">
        <f>IF(F67="","",F67*Parameters!$B$1)</f>
        <v>812710.5</v>
      </c>
      <c r="H67">
        <v>1000</v>
      </c>
      <c r="I67">
        <f>IF(H67="","",H67*Parameters!$B$2)</f>
        <v>320000</v>
      </c>
      <c r="J67">
        <f t="shared" si="6"/>
        <v>1132710.5</v>
      </c>
      <c r="K67">
        <v>450</v>
      </c>
      <c r="L67">
        <f>IF(K67="","",K67*Parameters!$B$2)</f>
        <v>144000</v>
      </c>
      <c r="M67">
        <f t="shared" si="7"/>
        <v>956710.5</v>
      </c>
      <c r="N67">
        <v>520</v>
      </c>
      <c r="O67">
        <f>IF(N67="","",N67*Parameters!$B$2)</f>
        <v>166400</v>
      </c>
      <c r="P67">
        <f t="shared" si="8"/>
        <v>979110.5</v>
      </c>
    </row>
    <row r="68" spans="1:16">
      <c r="A68" t="s">
        <v>438</v>
      </c>
      <c r="B68" t="s">
        <v>485</v>
      </c>
      <c r="C68" t="s">
        <v>15</v>
      </c>
      <c r="D68" t="s">
        <v>16</v>
      </c>
      <c r="E68" t="s">
        <v>50</v>
      </c>
      <c r="F68" s="2">
        <v>3870050</v>
      </c>
      <c r="G68">
        <f>IF(F68="","",F68*Parameters!$B$1)</f>
        <v>812710.5</v>
      </c>
      <c r="H68">
        <v>1000</v>
      </c>
      <c r="I68">
        <f>IF(H68="","",H68*Parameters!$B$2)</f>
        <v>320000</v>
      </c>
      <c r="J68">
        <f t="shared" si="6"/>
        <v>1132710.5</v>
      </c>
      <c r="K68">
        <v>450</v>
      </c>
      <c r="L68">
        <f>IF(K68="","",K68*Parameters!$B$2)</f>
        <v>144000</v>
      </c>
      <c r="M68">
        <f t="shared" si="7"/>
        <v>956710.5</v>
      </c>
      <c r="N68">
        <v>520</v>
      </c>
      <c r="O68">
        <f>IF(N68="","",N68*Parameters!$B$2)</f>
        <v>166400</v>
      </c>
      <c r="P68">
        <f t="shared" si="8"/>
        <v>979110.5</v>
      </c>
    </row>
    <row r="69" spans="1:16">
      <c r="A69" t="s">
        <v>438</v>
      </c>
      <c r="B69" t="s">
        <v>33</v>
      </c>
      <c r="C69" t="s">
        <v>15</v>
      </c>
      <c r="D69" t="s">
        <v>16</v>
      </c>
      <c r="E69" t="s">
        <v>50</v>
      </c>
      <c r="F69" s="2">
        <v>3870050</v>
      </c>
      <c r="G69">
        <f>IF(F69="","",F69*Parameters!$B$1)</f>
        <v>812710.5</v>
      </c>
      <c r="H69">
        <v>1000</v>
      </c>
      <c r="I69">
        <f>IF(H69="","",H69*Parameters!$B$2)</f>
        <v>320000</v>
      </c>
      <c r="J69">
        <f t="shared" si="6"/>
        <v>1132710.5</v>
      </c>
      <c r="K69">
        <v>450</v>
      </c>
      <c r="L69">
        <f>IF(K69="","",K69*Parameters!$B$2)</f>
        <v>144000</v>
      </c>
      <c r="M69">
        <f t="shared" si="7"/>
        <v>956710.5</v>
      </c>
      <c r="N69">
        <v>520</v>
      </c>
      <c r="O69">
        <f>IF(N69="","",N69*Parameters!$B$2)</f>
        <v>166400</v>
      </c>
      <c r="P69">
        <f t="shared" si="8"/>
        <v>979110.5</v>
      </c>
    </row>
    <row r="70" spans="1:16">
      <c r="A70" t="s">
        <v>438</v>
      </c>
      <c r="B70" t="s">
        <v>486</v>
      </c>
      <c r="C70" t="s">
        <v>15</v>
      </c>
      <c r="D70" t="s">
        <v>16</v>
      </c>
      <c r="E70" t="s">
        <v>50</v>
      </c>
      <c r="F70" s="2">
        <v>3870050</v>
      </c>
      <c r="G70">
        <f>IF(F70="","",F70*Parameters!$B$1)</f>
        <v>812710.5</v>
      </c>
      <c r="H70">
        <v>1000</v>
      </c>
      <c r="I70">
        <f>IF(H70="","",H70*Parameters!$B$2)</f>
        <v>320000</v>
      </c>
      <c r="J70">
        <f t="shared" si="6"/>
        <v>1132710.5</v>
      </c>
      <c r="K70">
        <v>450</v>
      </c>
      <c r="L70">
        <f>IF(K70="","",K70*Parameters!$B$2)</f>
        <v>144000</v>
      </c>
      <c r="M70">
        <f t="shared" si="7"/>
        <v>956710.5</v>
      </c>
      <c r="N70">
        <v>520</v>
      </c>
      <c r="O70">
        <f>IF(N70="","",N70*Parameters!$B$2)</f>
        <v>166400</v>
      </c>
      <c r="P70">
        <f t="shared" si="8"/>
        <v>979110.5</v>
      </c>
    </row>
    <row r="71" spans="1:16">
      <c r="A71" t="s">
        <v>438</v>
      </c>
      <c r="B71" t="s">
        <v>374</v>
      </c>
      <c r="C71" t="s">
        <v>15</v>
      </c>
      <c r="D71" t="s">
        <v>16</v>
      </c>
      <c r="E71" t="s">
        <v>50</v>
      </c>
      <c r="F71" s="2">
        <v>3870050</v>
      </c>
      <c r="G71">
        <f>IF(F71="","",F71*Parameters!$B$1)</f>
        <v>812710.5</v>
      </c>
      <c r="H71">
        <v>1000</v>
      </c>
      <c r="I71">
        <f>IF(H71="","",H71*Parameters!$B$2)</f>
        <v>320000</v>
      </c>
      <c r="J71">
        <f t="shared" si="6"/>
        <v>1132710.5</v>
      </c>
      <c r="K71">
        <v>450</v>
      </c>
      <c r="L71">
        <f>IF(K71="","",K71*Parameters!$B$2)</f>
        <v>144000</v>
      </c>
      <c r="M71">
        <f t="shared" si="7"/>
        <v>956710.5</v>
      </c>
      <c r="N71">
        <v>520</v>
      </c>
      <c r="O71">
        <f>IF(N71="","",N71*Parameters!$B$2)</f>
        <v>166400</v>
      </c>
      <c r="P71">
        <f t="shared" si="8"/>
        <v>979110.5</v>
      </c>
    </row>
    <row r="72" spans="1:16">
      <c r="A72" t="s">
        <v>438</v>
      </c>
      <c r="B72" t="s">
        <v>224</v>
      </c>
      <c r="C72" t="s">
        <v>15</v>
      </c>
      <c r="D72" t="s">
        <v>16</v>
      </c>
      <c r="E72" t="s">
        <v>50</v>
      </c>
      <c r="F72" s="2">
        <v>4696620</v>
      </c>
      <c r="G72">
        <f>IF(F72="","",F72*Parameters!$B$1)</f>
        <v>986290.2</v>
      </c>
      <c r="H72">
        <v>1000</v>
      </c>
      <c r="I72">
        <f>IF(H72="","",H72*Parameters!$B$2)</f>
        <v>320000</v>
      </c>
      <c r="J72">
        <f t="shared" si="6"/>
        <v>1306290.2</v>
      </c>
      <c r="K72">
        <v>450</v>
      </c>
      <c r="L72">
        <f>IF(K72="","",K72*Parameters!$B$2)</f>
        <v>144000</v>
      </c>
      <c r="M72">
        <f t="shared" si="7"/>
        <v>1130290.2</v>
      </c>
      <c r="N72">
        <v>520</v>
      </c>
      <c r="O72">
        <f>IF(N72="","",N72*Parameters!$B$2)</f>
        <v>166400</v>
      </c>
      <c r="P72">
        <f t="shared" si="8"/>
        <v>1152690.2</v>
      </c>
    </row>
    <row r="73" spans="1:16">
      <c r="A73" t="s">
        <v>438</v>
      </c>
      <c r="B73" t="s">
        <v>237</v>
      </c>
      <c r="C73" t="s">
        <v>15</v>
      </c>
      <c r="D73" t="s">
        <v>16</v>
      </c>
      <c r="E73" t="s">
        <v>50</v>
      </c>
      <c r="F73" s="2">
        <v>4696620</v>
      </c>
      <c r="G73">
        <f>IF(F73="","",F73*Parameters!$B$1)</f>
        <v>986290.2</v>
      </c>
      <c r="H73">
        <v>1000</v>
      </c>
      <c r="I73">
        <f>IF(H73="","",H73*Parameters!$B$2)</f>
        <v>320000</v>
      </c>
      <c r="J73">
        <f t="shared" si="6"/>
        <v>1306290.2</v>
      </c>
      <c r="K73">
        <v>450</v>
      </c>
      <c r="L73">
        <f>IF(K73="","",K73*Parameters!$B$2)</f>
        <v>144000</v>
      </c>
      <c r="M73">
        <f t="shared" si="7"/>
        <v>1130290.2</v>
      </c>
      <c r="N73">
        <v>520</v>
      </c>
      <c r="O73">
        <f>IF(N73="","",N73*Parameters!$B$2)</f>
        <v>166400</v>
      </c>
      <c r="P73">
        <f t="shared" si="8"/>
        <v>1152690.2</v>
      </c>
    </row>
    <row r="74" spans="1:16">
      <c r="A74" t="s">
        <v>438</v>
      </c>
      <c r="B74" t="s">
        <v>151</v>
      </c>
      <c r="C74" t="s">
        <v>15</v>
      </c>
      <c r="D74" t="s">
        <v>16</v>
      </c>
      <c r="E74" t="s">
        <v>50</v>
      </c>
      <c r="F74" s="2">
        <v>4696620</v>
      </c>
      <c r="G74">
        <f>IF(F74="","",F74*Parameters!$B$1)</f>
        <v>986290.2</v>
      </c>
      <c r="H74">
        <v>1000</v>
      </c>
      <c r="I74">
        <f>IF(H74="","",H74*Parameters!$B$2)</f>
        <v>320000</v>
      </c>
      <c r="J74">
        <f t="shared" si="6"/>
        <v>1306290.2</v>
      </c>
      <c r="K74">
        <v>450</v>
      </c>
      <c r="L74">
        <f>IF(K74="","",K74*Parameters!$B$2)</f>
        <v>144000</v>
      </c>
      <c r="M74">
        <f t="shared" si="7"/>
        <v>1130290.2</v>
      </c>
      <c r="N74">
        <v>520</v>
      </c>
      <c r="O74">
        <f>IF(N74="","",N74*Parameters!$B$2)</f>
        <v>166400</v>
      </c>
      <c r="P74">
        <f t="shared" si="8"/>
        <v>1152690.2</v>
      </c>
    </row>
    <row r="75" spans="1:16">
      <c r="A75" t="s">
        <v>438</v>
      </c>
      <c r="B75" t="s">
        <v>487</v>
      </c>
      <c r="C75" t="s">
        <v>15</v>
      </c>
      <c r="D75" t="s">
        <v>16</v>
      </c>
      <c r="E75" t="s">
        <v>50</v>
      </c>
      <c r="F75" s="2">
        <v>4696620</v>
      </c>
      <c r="G75">
        <f>IF(F75="","",F75*Parameters!$B$1)</f>
        <v>986290.2</v>
      </c>
      <c r="H75">
        <v>1000</v>
      </c>
      <c r="I75">
        <f>IF(H75="","",H75*Parameters!$B$2)</f>
        <v>320000</v>
      </c>
      <c r="J75">
        <f t="shared" si="6"/>
        <v>1306290.2</v>
      </c>
      <c r="K75">
        <v>450</v>
      </c>
      <c r="L75">
        <f>IF(K75="","",K75*Parameters!$B$2)</f>
        <v>144000</v>
      </c>
      <c r="M75">
        <f t="shared" si="7"/>
        <v>1130290.2</v>
      </c>
      <c r="N75">
        <v>520</v>
      </c>
      <c r="O75">
        <f>IF(N75="","",N75*Parameters!$B$2)</f>
        <v>166400</v>
      </c>
      <c r="P75">
        <f t="shared" si="8"/>
        <v>1152690.2</v>
      </c>
    </row>
    <row r="76" spans="1:16">
      <c r="A76" t="s">
        <v>438</v>
      </c>
      <c r="B76" t="s">
        <v>38</v>
      </c>
      <c r="C76" t="s">
        <v>15</v>
      </c>
      <c r="D76" t="s">
        <v>16</v>
      </c>
      <c r="E76" t="s">
        <v>50</v>
      </c>
      <c r="F76" s="2">
        <v>5109720</v>
      </c>
      <c r="G76">
        <f>IF(F76="","",F76*Parameters!$B$1)</f>
        <v>1073041.2</v>
      </c>
      <c r="H76">
        <v>1000</v>
      </c>
      <c r="I76">
        <f>IF(H76="","",H76*Parameters!$B$2)</f>
        <v>320000</v>
      </c>
      <c r="J76">
        <f t="shared" si="6"/>
        <v>1393041.2</v>
      </c>
      <c r="K76">
        <v>450</v>
      </c>
      <c r="L76">
        <f>IF(K76="","",K76*Parameters!$B$2)</f>
        <v>144000</v>
      </c>
      <c r="M76">
        <f t="shared" si="7"/>
        <v>1217041.2</v>
      </c>
      <c r="N76">
        <v>520</v>
      </c>
      <c r="O76">
        <f>IF(N76="","",N76*Parameters!$B$2)</f>
        <v>166400</v>
      </c>
      <c r="P76">
        <f t="shared" si="8"/>
        <v>1239441.2</v>
      </c>
    </row>
    <row r="77" spans="1:16">
      <c r="A77" t="s">
        <v>438</v>
      </c>
      <c r="B77" t="s">
        <v>488</v>
      </c>
      <c r="C77" t="s">
        <v>15</v>
      </c>
      <c r="D77" t="s">
        <v>16</v>
      </c>
      <c r="E77" t="s">
        <v>50</v>
      </c>
      <c r="F77" s="2">
        <v>5109720</v>
      </c>
      <c r="G77">
        <f>IF(F77="","",F77*Parameters!$B$1)</f>
        <v>1073041.2</v>
      </c>
      <c r="H77">
        <v>1000</v>
      </c>
      <c r="I77">
        <f>IF(H77="","",H77*Parameters!$B$2)</f>
        <v>320000</v>
      </c>
      <c r="J77">
        <f t="shared" si="6"/>
        <v>1393041.2</v>
      </c>
      <c r="K77">
        <v>450</v>
      </c>
      <c r="L77">
        <f>IF(K77="","",K77*Parameters!$B$2)</f>
        <v>144000</v>
      </c>
      <c r="M77">
        <f t="shared" si="7"/>
        <v>1217041.2</v>
      </c>
      <c r="N77">
        <v>520</v>
      </c>
      <c r="O77">
        <f>IF(N77="","",N77*Parameters!$B$2)</f>
        <v>166400</v>
      </c>
      <c r="P77">
        <f t="shared" si="8"/>
        <v>1239441.2</v>
      </c>
    </row>
    <row r="78" spans="1:16">
      <c r="A78" t="s">
        <v>438</v>
      </c>
      <c r="B78" t="s">
        <v>34</v>
      </c>
      <c r="C78" t="s">
        <v>15</v>
      </c>
      <c r="D78" t="s">
        <v>16</v>
      </c>
      <c r="E78" t="s">
        <v>50</v>
      </c>
      <c r="F78" s="2">
        <v>5109720</v>
      </c>
      <c r="G78">
        <f>IF(F78="","",F78*Parameters!$B$1)</f>
        <v>1073041.2</v>
      </c>
      <c r="H78">
        <v>1000</v>
      </c>
      <c r="I78">
        <f>IF(H78="","",H78*Parameters!$B$2)</f>
        <v>320000</v>
      </c>
      <c r="J78">
        <f t="shared" si="6"/>
        <v>1393041.2</v>
      </c>
      <c r="K78">
        <v>450</v>
      </c>
      <c r="L78">
        <f>IF(K78="","",K78*Parameters!$B$2)</f>
        <v>144000</v>
      </c>
      <c r="M78">
        <f t="shared" si="7"/>
        <v>1217041.2</v>
      </c>
      <c r="N78">
        <v>520</v>
      </c>
      <c r="O78">
        <f>IF(N78="","",N78*Parameters!$B$2)</f>
        <v>166400</v>
      </c>
      <c r="P78">
        <f t="shared" si="8"/>
        <v>1239441.2</v>
      </c>
    </row>
    <row r="79" spans="1:16">
      <c r="A79" t="s">
        <v>438</v>
      </c>
      <c r="B79" t="s">
        <v>489</v>
      </c>
      <c r="C79" t="s">
        <v>15</v>
      </c>
      <c r="D79" t="s">
        <v>16</v>
      </c>
      <c r="E79" t="s">
        <v>50</v>
      </c>
      <c r="F79" s="2">
        <v>5109720</v>
      </c>
      <c r="G79">
        <f>IF(F79="","",F79*Parameters!$B$1)</f>
        <v>1073041.2</v>
      </c>
      <c r="H79">
        <v>1000</v>
      </c>
      <c r="I79">
        <f>IF(H79="","",H79*Parameters!$B$2)</f>
        <v>320000</v>
      </c>
      <c r="J79">
        <f t="shared" si="6"/>
        <v>1393041.2</v>
      </c>
      <c r="K79">
        <v>450</v>
      </c>
      <c r="L79">
        <f>IF(K79="","",K79*Parameters!$B$2)</f>
        <v>144000</v>
      </c>
      <c r="M79">
        <f t="shared" si="7"/>
        <v>1217041.2</v>
      </c>
      <c r="N79">
        <v>520</v>
      </c>
      <c r="O79">
        <f>IF(N79="","",N79*Parameters!$B$2)</f>
        <v>166400</v>
      </c>
      <c r="P79">
        <f t="shared" si="8"/>
        <v>1239441.2</v>
      </c>
    </row>
    <row r="80" spans="1:16">
      <c r="A80" t="s">
        <v>438</v>
      </c>
      <c r="B80" t="s">
        <v>490</v>
      </c>
      <c r="C80" t="s">
        <v>15</v>
      </c>
      <c r="D80" t="s">
        <v>16</v>
      </c>
      <c r="E80" t="s">
        <v>50</v>
      </c>
      <c r="F80" s="2">
        <v>5109720</v>
      </c>
      <c r="G80">
        <f>IF(F80="","",F80*Parameters!$B$1)</f>
        <v>1073041.2</v>
      </c>
      <c r="H80">
        <v>1000</v>
      </c>
      <c r="I80">
        <f>IF(H80="","",H80*Parameters!$B$2)</f>
        <v>320000</v>
      </c>
      <c r="J80">
        <f t="shared" si="6"/>
        <v>1393041.2</v>
      </c>
      <c r="K80">
        <v>450</v>
      </c>
      <c r="L80">
        <f>IF(K80="","",K80*Parameters!$B$2)</f>
        <v>144000</v>
      </c>
      <c r="M80">
        <f t="shared" si="7"/>
        <v>1217041.2</v>
      </c>
      <c r="N80">
        <v>520</v>
      </c>
      <c r="O80">
        <f>IF(N80="","",N80*Parameters!$B$2)</f>
        <v>166400</v>
      </c>
      <c r="P80">
        <f t="shared" si="8"/>
        <v>1239441.2</v>
      </c>
    </row>
    <row r="81" spans="1:16">
      <c r="A81" t="s">
        <v>438</v>
      </c>
      <c r="B81" t="s">
        <v>491</v>
      </c>
      <c r="C81" t="s">
        <v>15</v>
      </c>
      <c r="D81" t="s">
        <v>16</v>
      </c>
      <c r="E81" t="s">
        <v>50</v>
      </c>
      <c r="F81" s="2">
        <v>5109720</v>
      </c>
      <c r="G81">
        <f>IF(F81="","",F81*Parameters!$B$1)</f>
        <v>1073041.2</v>
      </c>
      <c r="H81">
        <v>1000</v>
      </c>
      <c r="I81">
        <f>IF(H81="","",H81*Parameters!$B$2)</f>
        <v>320000</v>
      </c>
      <c r="J81">
        <f t="shared" si="6"/>
        <v>1393041.2</v>
      </c>
      <c r="K81">
        <v>450</v>
      </c>
      <c r="L81">
        <f>IF(K81="","",K81*Parameters!$B$2)</f>
        <v>144000</v>
      </c>
      <c r="M81">
        <f t="shared" si="7"/>
        <v>1217041.2</v>
      </c>
      <c r="N81">
        <v>520</v>
      </c>
      <c r="O81">
        <f>IF(N81="","",N81*Parameters!$B$2)</f>
        <v>166400</v>
      </c>
      <c r="P81">
        <f t="shared" si="8"/>
        <v>1239441.2</v>
      </c>
    </row>
    <row r="82" spans="1:16">
      <c r="A82" t="s">
        <v>438</v>
      </c>
      <c r="B82" t="s">
        <v>492</v>
      </c>
      <c r="C82" t="s">
        <v>15</v>
      </c>
      <c r="D82" t="s">
        <v>16</v>
      </c>
      <c r="E82" t="s">
        <v>50</v>
      </c>
      <c r="F82" s="2">
        <v>5109720</v>
      </c>
      <c r="G82">
        <f>IF(F82="","",F82*Parameters!$B$1)</f>
        <v>1073041.2</v>
      </c>
      <c r="H82">
        <v>1000</v>
      </c>
      <c r="I82">
        <f>IF(H82="","",H82*Parameters!$B$2)</f>
        <v>320000</v>
      </c>
      <c r="J82">
        <f t="shared" si="6"/>
        <v>1393041.2</v>
      </c>
      <c r="K82">
        <v>450</v>
      </c>
      <c r="L82">
        <f>IF(K82="","",K82*Parameters!$B$2)</f>
        <v>144000</v>
      </c>
      <c r="M82">
        <f t="shared" si="7"/>
        <v>1217041.2</v>
      </c>
      <c r="N82">
        <v>520</v>
      </c>
      <c r="O82">
        <f>IF(N82="","",N82*Parameters!$B$2)</f>
        <v>166400</v>
      </c>
      <c r="P82">
        <f t="shared" si="8"/>
        <v>1239441.2</v>
      </c>
    </row>
    <row r="83" spans="1:16">
      <c r="A83" t="s">
        <v>438</v>
      </c>
      <c r="B83" t="s">
        <v>421</v>
      </c>
      <c r="C83" t="s">
        <v>15</v>
      </c>
      <c r="D83" t="s">
        <v>16</v>
      </c>
      <c r="E83" t="s">
        <v>50</v>
      </c>
      <c r="F83" s="2">
        <v>5109720</v>
      </c>
      <c r="G83">
        <f>IF(F83="","",F83*Parameters!$B$1)</f>
        <v>1073041.2</v>
      </c>
      <c r="H83">
        <v>1000</v>
      </c>
      <c r="I83">
        <f>IF(H83="","",H83*Parameters!$B$2)</f>
        <v>320000</v>
      </c>
      <c r="J83">
        <f t="shared" si="6"/>
        <v>1393041.2</v>
      </c>
      <c r="K83">
        <v>450</v>
      </c>
      <c r="L83">
        <f>IF(K83="","",K83*Parameters!$B$2)</f>
        <v>144000</v>
      </c>
      <c r="M83">
        <f t="shared" si="7"/>
        <v>1217041.2</v>
      </c>
      <c r="N83">
        <v>520</v>
      </c>
      <c r="O83">
        <f>IF(N83="","",N83*Parameters!$B$2)</f>
        <v>166400</v>
      </c>
      <c r="P83">
        <f t="shared" si="8"/>
        <v>1239441.2</v>
      </c>
    </row>
    <row r="84" spans="1:16">
      <c r="A84" t="s">
        <v>438</v>
      </c>
      <c r="B84" t="s">
        <v>250</v>
      </c>
      <c r="C84" t="s">
        <v>15</v>
      </c>
      <c r="D84" t="s">
        <v>16</v>
      </c>
      <c r="E84" t="s">
        <v>50</v>
      </c>
      <c r="F84" s="2">
        <v>5109720</v>
      </c>
      <c r="G84">
        <f>IF(F84="","",F84*Parameters!$B$1)</f>
        <v>1073041.2</v>
      </c>
      <c r="H84">
        <v>1000</v>
      </c>
      <c r="I84">
        <f>IF(H84="","",H84*Parameters!$B$2)</f>
        <v>320000</v>
      </c>
      <c r="J84">
        <f t="shared" si="6"/>
        <v>1393041.2</v>
      </c>
      <c r="K84">
        <v>450</v>
      </c>
      <c r="L84">
        <f>IF(K84="","",K84*Parameters!$B$2)</f>
        <v>144000</v>
      </c>
      <c r="M84">
        <f t="shared" si="7"/>
        <v>1217041.2</v>
      </c>
      <c r="N84">
        <v>520</v>
      </c>
      <c r="O84">
        <f>IF(N84="","",N84*Parameters!$B$2)</f>
        <v>166400</v>
      </c>
      <c r="P84">
        <f t="shared" si="8"/>
        <v>1239441.2</v>
      </c>
    </row>
    <row r="85" spans="1:16">
      <c r="A85" t="s">
        <v>438</v>
      </c>
      <c r="B85" t="s">
        <v>493</v>
      </c>
      <c r="C85" t="s">
        <v>15</v>
      </c>
      <c r="D85" t="s">
        <v>16</v>
      </c>
      <c r="E85" t="s">
        <v>50</v>
      </c>
      <c r="F85" s="2">
        <v>5109720</v>
      </c>
      <c r="G85">
        <f>IF(F85="","",F85*Parameters!$B$1)</f>
        <v>1073041.2</v>
      </c>
      <c r="H85">
        <v>1000</v>
      </c>
      <c r="I85">
        <f>IF(H85="","",H85*Parameters!$B$2)</f>
        <v>320000</v>
      </c>
      <c r="J85">
        <f t="shared" si="6"/>
        <v>1393041.2</v>
      </c>
      <c r="K85">
        <v>450</v>
      </c>
      <c r="L85">
        <f>IF(K85="","",K85*Parameters!$B$2)</f>
        <v>144000</v>
      </c>
      <c r="M85">
        <f t="shared" si="7"/>
        <v>1217041.2</v>
      </c>
      <c r="N85">
        <v>520</v>
      </c>
      <c r="O85">
        <f>IF(N85="","",N85*Parameters!$B$2)</f>
        <v>166400</v>
      </c>
      <c r="P85">
        <f t="shared" si="8"/>
        <v>1239441.2</v>
      </c>
    </row>
    <row r="86" spans="1:16">
      <c r="A86" t="s">
        <v>438</v>
      </c>
      <c r="B86" t="s">
        <v>494</v>
      </c>
      <c r="C86" t="s">
        <v>15</v>
      </c>
      <c r="D86" t="s">
        <v>16</v>
      </c>
      <c r="E86" t="s">
        <v>50</v>
      </c>
      <c r="F86" s="2">
        <v>5109720</v>
      </c>
      <c r="G86">
        <f>IF(F86="","",F86*Parameters!$B$1)</f>
        <v>1073041.2</v>
      </c>
      <c r="H86">
        <v>1000</v>
      </c>
      <c r="I86">
        <f>IF(H86="","",H86*Parameters!$B$2)</f>
        <v>320000</v>
      </c>
      <c r="J86">
        <f t="shared" si="6"/>
        <v>1393041.2</v>
      </c>
      <c r="K86">
        <v>450</v>
      </c>
      <c r="L86">
        <f>IF(K86="","",K86*Parameters!$B$2)</f>
        <v>144000</v>
      </c>
      <c r="M86">
        <f t="shared" si="7"/>
        <v>1217041.2</v>
      </c>
      <c r="N86">
        <v>520</v>
      </c>
      <c r="O86">
        <f>IF(N86="","",N86*Parameters!$B$2)</f>
        <v>166400</v>
      </c>
      <c r="P86">
        <f t="shared" si="8"/>
        <v>1239441.2</v>
      </c>
    </row>
    <row r="87" spans="1:16">
      <c r="A87" t="s">
        <v>438</v>
      </c>
      <c r="B87" t="s">
        <v>31</v>
      </c>
      <c r="C87" t="s">
        <v>15</v>
      </c>
      <c r="D87" t="s">
        <v>16</v>
      </c>
      <c r="E87" t="s">
        <v>50</v>
      </c>
      <c r="F87" s="2">
        <v>5109720</v>
      </c>
      <c r="G87">
        <f>IF(F87="","",F87*Parameters!$B$1)</f>
        <v>1073041.2</v>
      </c>
      <c r="H87">
        <v>1000</v>
      </c>
      <c r="I87">
        <f>IF(H87="","",H87*Parameters!$B$2)</f>
        <v>320000</v>
      </c>
      <c r="J87">
        <f t="shared" si="6"/>
        <v>1393041.2</v>
      </c>
      <c r="K87">
        <v>450</v>
      </c>
      <c r="L87">
        <f>IF(K87="","",K87*Parameters!$B$2)</f>
        <v>144000</v>
      </c>
      <c r="M87">
        <f t="shared" si="7"/>
        <v>1217041.2</v>
      </c>
      <c r="N87">
        <v>520</v>
      </c>
      <c r="O87">
        <f>IF(N87="","",N87*Parameters!$B$2)</f>
        <v>166400</v>
      </c>
      <c r="P87">
        <f t="shared" si="8"/>
        <v>1239441.2</v>
      </c>
    </row>
    <row r="88" spans="1:16">
      <c r="A88" t="s">
        <v>438</v>
      </c>
      <c r="B88" t="s">
        <v>495</v>
      </c>
      <c r="C88" t="s">
        <v>15</v>
      </c>
      <c r="D88" t="s">
        <v>16</v>
      </c>
      <c r="E88" t="s">
        <v>50</v>
      </c>
      <c r="F88" s="2">
        <v>3870050</v>
      </c>
      <c r="G88">
        <f>IF(F88="","",F88*Parameters!$B$1)</f>
        <v>812710.5</v>
      </c>
      <c r="H88">
        <v>1000</v>
      </c>
      <c r="I88">
        <f>IF(H88="","",H88*Parameters!$B$2)</f>
        <v>320000</v>
      </c>
      <c r="J88">
        <f t="shared" si="6"/>
        <v>1132710.5</v>
      </c>
      <c r="K88">
        <v>450</v>
      </c>
      <c r="L88">
        <f>IF(K88="","",K88*Parameters!$B$2)</f>
        <v>144000</v>
      </c>
      <c r="M88">
        <f t="shared" si="7"/>
        <v>956710.5</v>
      </c>
      <c r="N88">
        <v>520</v>
      </c>
      <c r="O88">
        <f>IF(N88="","",N88*Parameters!$B$2)</f>
        <v>166400</v>
      </c>
      <c r="P88">
        <f t="shared" si="8"/>
        <v>979110.5</v>
      </c>
    </row>
    <row r="89" spans="1:16">
      <c r="A89" t="s">
        <v>438</v>
      </c>
      <c r="B89" t="s">
        <v>496</v>
      </c>
      <c r="C89" t="s">
        <v>15</v>
      </c>
      <c r="D89" t="s">
        <v>16</v>
      </c>
      <c r="E89" t="s">
        <v>50</v>
      </c>
      <c r="F89" s="2">
        <v>3870050</v>
      </c>
      <c r="G89">
        <f>IF(F89="","",F89*Parameters!$B$1)</f>
        <v>812710.5</v>
      </c>
      <c r="H89">
        <v>1000</v>
      </c>
      <c r="I89">
        <f>IF(H89="","",H89*Parameters!$B$2)</f>
        <v>320000</v>
      </c>
      <c r="J89">
        <f t="shared" si="6"/>
        <v>1132710.5</v>
      </c>
      <c r="K89">
        <v>450</v>
      </c>
      <c r="L89">
        <f>IF(K89="","",K89*Parameters!$B$2)</f>
        <v>144000</v>
      </c>
      <c r="M89">
        <f t="shared" si="7"/>
        <v>956710.5</v>
      </c>
      <c r="N89">
        <v>520</v>
      </c>
      <c r="O89">
        <f>IF(N89="","",N89*Parameters!$B$2)</f>
        <v>166400</v>
      </c>
      <c r="P89">
        <f t="shared" si="8"/>
        <v>979110.5</v>
      </c>
    </row>
    <row r="90" spans="1:16">
      <c r="A90" t="s">
        <v>438</v>
      </c>
      <c r="B90" t="s">
        <v>497</v>
      </c>
      <c r="C90" t="s">
        <v>15</v>
      </c>
      <c r="D90" t="s">
        <v>16</v>
      </c>
      <c r="E90" t="s">
        <v>50</v>
      </c>
      <c r="F90" s="2">
        <v>3870050</v>
      </c>
      <c r="G90">
        <f>IF(F90="","",F90*Parameters!$B$1)</f>
        <v>812710.5</v>
      </c>
      <c r="H90">
        <v>1000</v>
      </c>
      <c r="I90">
        <f>IF(H90="","",H90*Parameters!$B$2)</f>
        <v>320000</v>
      </c>
      <c r="J90">
        <f t="shared" si="6"/>
        <v>1132710.5</v>
      </c>
      <c r="K90">
        <v>450</v>
      </c>
      <c r="L90">
        <f>IF(K90="","",K90*Parameters!$B$2)</f>
        <v>144000</v>
      </c>
      <c r="M90">
        <f t="shared" si="7"/>
        <v>956710.5</v>
      </c>
      <c r="N90">
        <v>520</v>
      </c>
      <c r="O90">
        <f>IF(N90="","",N90*Parameters!$B$2)</f>
        <v>166400</v>
      </c>
      <c r="P90">
        <f t="shared" si="8"/>
        <v>979110.5</v>
      </c>
    </row>
    <row r="91" spans="1:16">
      <c r="A91" t="s">
        <v>438</v>
      </c>
      <c r="B91" t="s">
        <v>498</v>
      </c>
      <c r="C91" t="s">
        <v>15</v>
      </c>
      <c r="D91" t="s">
        <v>16</v>
      </c>
      <c r="E91" t="s">
        <v>50</v>
      </c>
      <c r="F91" s="2">
        <v>3870050</v>
      </c>
      <c r="G91">
        <f>IF(F91="","",F91*Parameters!$B$1)</f>
        <v>812710.5</v>
      </c>
      <c r="H91">
        <v>1000</v>
      </c>
      <c r="I91">
        <f>IF(H91="","",H91*Parameters!$B$2)</f>
        <v>320000</v>
      </c>
      <c r="J91">
        <f t="shared" si="6"/>
        <v>1132710.5</v>
      </c>
      <c r="K91">
        <v>450</v>
      </c>
      <c r="L91">
        <f>IF(K91="","",K91*Parameters!$B$2)</f>
        <v>144000</v>
      </c>
      <c r="M91">
        <f t="shared" si="7"/>
        <v>956710.5</v>
      </c>
      <c r="N91">
        <v>520</v>
      </c>
      <c r="O91">
        <f>IF(N91="","",N91*Parameters!$B$2)</f>
        <v>166400</v>
      </c>
      <c r="P91">
        <f t="shared" si="8"/>
        <v>979110.5</v>
      </c>
    </row>
    <row r="92" spans="1:16">
      <c r="A92" t="s">
        <v>438</v>
      </c>
      <c r="B92" t="s">
        <v>499</v>
      </c>
      <c r="C92" t="s">
        <v>15</v>
      </c>
      <c r="D92" t="s">
        <v>16</v>
      </c>
      <c r="E92" t="s">
        <v>50</v>
      </c>
      <c r="F92" s="2">
        <v>3870050</v>
      </c>
      <c r="G92">
        <f>IF(F92="","",F92*Parameters!$B$1)</f>
        <v>812710.5</v>
      </c>
      <c r="H92">
        <v>1000</v>
      </c>
      <c r="I92">
        <f>IF(H92="","",H92*Parameters!$B$2)</f>
        <v>320000</v>
      </c>
      <c r="J92">
        <f t="shared" si="6"/>
        <v>1132710.5</v>
      </c>
      <c r="K92">
        <v>450</v>
      </c>
      <c r="L92">
        <f>IF(K92="","",K92*Parameters!$B$2)</f>
        <v>144000</v>
      </c>
      <c r="M92">
        <f t="shared" si="7"/>
        <v>956710.5</v>
      </c>
      <c r="N92">
        <v>520</v>
      </c>
      <c r="O92">
        <f>IF(N92="","",N92*Parameters!$B$2)</f>
        <v>166400</v>
      </c>
      <c r="P92">
        <f t="shared" si="8"/>
        <v>979110.5</v>
      </c>
    </row>
    <row r="93" spans="1:16">
      <c r="A93" t="s">
        <v>438</v>
      </c>
      <c r="B93" t="s">
        <v>500</v>
      </c>
      <c r="C93" t="s">
        <v>15</v>
      </c>
      <c r="D93" t="s">
        <v>16</v>
      </c>
      <c r="E93" t="s">
        <v>50</v>
      </c>
      <c r="F93" s="2">
        <v>3870050</v>
      </c>
      <c r="G93">
        <f>IF(F93="","",F93*Parameters!$B$1)</f>
        <v>812710.5</v>
      </c>
      <c r="H93">
        <v>1000</v>
      </c>
      <c r="I93">
        <f>IF(H93="","",H93*Parameters!$B$2)</f>
        <v>320000</v>
      </c>
      <c r="J93">
        <f t="shared" si="6"/>
        <v>1132710.5</v>
      </c>
      <c r="K93">
        <v>450</v>
      </c>
      <c r="L93">
        <f>IF(K93="","",K93*Parameters!$B$2)</f>
        <v>144000</v>
      </c>
      <c r="M93">
        <f t="shared" si="7"/>
        <v>956710.5</v>
      </c>
      <c r="N93">
        <v>520</v>
      </c>
      <c r="O93">
        <f>IF(N93="","",N93*Parameters!$B$2)</f>
        <v>166400</v>
      </c>
      <c r="P93">
        <f t="shared" si="8"/>
        <v>979110.5</v>
      </c>
    </row>
    <row r="94" spans="1:16">
      <c r="A94" t="s">
        <v>438</v>
      </c>
      <c r="B94" t="s">
        <v>501</v>
      </c>
      <c r="C94" t="s">
        <v>15</v>
      </c>
      <c r="D94" t="s">
        <v>16</v>
      </c>
      <c r="E94" t="s">
        <v>50</v>
      </c>
      <c r="F94" s="2">
        <v>3870050</v>
      </c>
      <c r="G94">
        <f>IF(F94="","",F94*Parameters!$B$1)</f>
        <v>812710.5</v>
      </c>
      <c r="H94">
        <v>1000</v>
      </c>
      <c r="I94">
        <f>IF(H94="","",H94*Parameters!$B$2)</f>
        <v>320000</v>
      </c>
      <c r="J94">
        <f t="shared" si="6"/>
        <v>1132710.5</v>
      </c>
      <c r="K94">
        <v>450</v>
      </c>
      <c r="L94">
        <f>IF(K94="","",K94*Parameters!$B$2)</f>
        <v>144000</v>
      </c>
      <c r="M94">
        <f t="shared" si="7"/>
        <v>956710.5</v>
      </c>
      <c r="N94">
        <v>520</v>
      </c>
      <c r="O94">
        <f>IF(N94="","",N94*Parameters!$B$2)</f>
        <v>166400</v>
      </c>
      <c r="P94">
        <f t="shared" si="8"/>
        <v>979110.5</v>
      </c>
    </row>
    <row r="95" spans="1:16">
      <c r="A95" t="s">
        <v>438</v>
      </c>
      <c r="B95" t="s">
        <v>502</v>
      </c>
      <c r="C95" t="s">
        <v>15</v>
      </c>
      <c r="D95" t="s">
        <v>16</v>
      </c>
      <c r="E95" t="s">
        <v>50</v>
      </c>
      <c r="F95" s="2">
        <v>4696620</v>
      </c>
      <c r="G95">
        <f>IF(F95="","",F95*Parameters!$B$1)</f>
        <v>986290.2</v>
      </c>
      <c r="H95">
        <v>1000</v>
      </c>
      <c r="I95">
        <f>IF(H95="","",H95*Parameters!$B$2)</f>
        <v>320000</v>
      </c>
      <c r="J95">
        <f t="shared" si="6"/>
        <v>1306290.2</v>
      </c>
      <c r="K95">
        <v>450</v>
      </c>
      <c r="L95">
        <f>IF(K95="","",K95*Parameters!$B$2)</f>
        <v>144000</v>
      </c>
      <c r="M95">
        <f t="shared" si="7"/>
        <v>1130290.2</v>
      </c>
      <c r="N95">
        <v>520</v>
      </c>
      <c r="O95">
        <f>IF(N95="","",N95*Parameters!$B$2)</f>
        <v>166400</v>
      </c>
      <c r="P95">
        <f t="shared" si="8"/>
        <v>1152690.2</v>
      </c>
    </row>
    <row r="96" spans="1:16">
      <c r="A96" t="s">
        <v>438</v>
      </c>
      <c r="B96" t="s">
        <v>503</v>
      </c>
      <c r="C96" t="s">
        <v>15</v>
      </c>
      <c r="D96" t="s">
        <v>16</v>
      </c>
      <c r="E96" t="s">
        <v>50</v>
      </c>
      <c r="F96" s="2">
        <v>5109720</v>
      </c>
      <c r="G96">
        <f>IF(F96="","",F96*Parameters!$B$1)</f>
        <v>1073041.2</v>
      </c>
      <c r="H96">
        <v>1000</v>
      </c>
      <c r="I96">
        <f>IF(H96="","",H96*Parameters!$B$2)</f>
        <v>320000</v>
      </c>
      <c r="J96">
        <f t="shared" si="6"/>
        <v>1393041.2</v>
      </c>
      <c r="K96">
        <v>450</v>
      </c>
      <c r="L96">
        <f>IF(K96="","",K96*Parameters!$B$2)</f>
        <v>144000</v>
      </c>
      <c r="M96">
        <f t="shared" si="7"/>
        <v>1217041.2</v>
      </c>
      <c r="N96">
        <v>520</v>
      </c>
      <c r="O96">
        <f>IF(N96="","",N96*Parameters!$B$2)</f>
        <v>166400</v>
      </c>
      <c r="P96">
        <f t="shared" si="8"/>
        <v>1239441.2</v>
      </c>
    </row>
    <row r="97" spans="1:22">
      <c r="A97" t="s">
        <v>438</v>
      </c>
      <c r="B97" t="s">
        <v>504</v>
      </c>
      <c r="C97" t="s">
        <v>15</v>
      </c>
      <c r="D97" t="s">
        <v>16</v>
      </c>
      <c r="E97" t="s">
        <v>50</v>
      </c>
      <c r="F97" s="2">
        <v>5109720</v>
      </c>
      <c r="G97">
        <f>IF(F97="","",F97*Parameters!$B$1)</f>
        <v>1073041.2</v>
      </c>
      <c r="H97">
        <v>1000</v>
      </c>
      <c r="I97">
        <f>IF(H97="","",H97*Parameters!$B$2)</f>
        <v>320000</v>
      </c>
      <c r="J97">
        <f t="shared" si="6"/>
        <v>1393041.2</v>
      </c>
      <c r="K97">
        <v>450</v>
      </c>
      <c r="L97">
        <f>IF(K97="","",K97*Parameters!$B$2)</f>
        <v>144000</v>
      </c>
      <c r="M97">
        <f t="shared" si="7"/>
        <v>1217041.2</v>
      </c>
      <c r="N97">
        <v>520</v>
      </c>
      <c r="O97">
        <f>IF(N97="","",N97*Parameters!$B$2)</f>
        <v>166400</v>
      </c>
      <c r="P97">
        <f t="shared" si="8"/>
        <v>1239441.2</v>
      </c>
    </row>
    <row r="98" spans="1:22">
      <c r="A98" t="s">
        <v>438</v>
      </c>
      <c r="B98" t="s">
        <v>505</v>
      </c>
      <c r="C98" t="s">
        <v>15</v>
      </c>
      <c r="D98" t="s">
        <v>16</v>
      </c>
      <c r="E98" t="s">
        <v>50</v>
      </c>
      <c r="F98" s="2">
        <v>5109720</v>
      </c>
      <c r="G98">
        <f>IF(F98="","",F98*Parameters!$B$1)</f>
        <v>1073041.2</v>
      </c>
      <c r="H98">
        <v>1000</v>
      </c>
      <c r="I98">
        <f>IF(H98="","",H98*Parameters!$B$2)</f>
        <v>320000</v>
      </c>
      <c r="J98">
        <f t="shared" ref="J98:J101" si="9">IF(OR(G98="",I98=""),"",G98+I98)</f>
        <v>1393041.2</v>
      </c>
      <c r="K98">
        <v>450</v>
      </c>
      <c r="L98">
        <f>IF(K98="","",K98*Parameters!$B$2)</f>
        <v>144000</v>
      </c>
      <c r="M98">
        <f t="shared" ref="M98:M101" si="10">IF(OR(G98="",L98=""),"",G98+L98)</f>
        <v>1217041.2</v>
      </c>
      <c r="N98">
        <v>520</v>
      </c>
      <c r="O98">
        <f>IF(N98="","",N98*Parameters!$B$2)</f>
        <v>166400</v>
      </c>
      <c r="P98">
        <f t="shared" ref="P98:P101" si="11">IF(OR(G98="",O98=""),"",G98+O98)</f>
        <v>1239441.2</v>
      </c>
    </row>
    <row r="99" spans="1:22">
      <c r="A99" t="s">
        <v>438</v>
      </c>
      <c r="B99" t="s">
        <v>493</v>
      </c>
      <c r="C99" t="s">
        <v>15</v>
      </c>
      <c r="D99" t="s">
        <v>16</v>
      </c>
      <c r="E99" t="s">
        <v>50</v>
      </c>
      <c r="F99" s="2">
        <v>5109720</v>
      </c>
      <c r="G99">
        <f>IF(F99="","",F99*Parameters!$B$1)</f>
        <v>1073041.2</v>
      </c>
      <c r="H99">
        <v>1100</v>
      </c>
      <c r="I99">
        <f>IF(H99="","",H99*Parameters!$B$2)</f>
        <v>352000</v>
      </c>
      <c r="J99">
        <f t="shared" si="9"/>
        <v>1425041.2</v>
      </c>
      <c r="K99">
        <v>1200</v>
      </c>
      <c r="L99">
        <f>IF(K99="","",K99*Parameters!$B$2)</f>
        <v>384000</v>
      </c>
      <c r="M99">
        <f t="shared" si="10"/>
        <v>1457041.2</v>
      </c>
      <c r="N99">
        <v>500</v>
      </c>
      <c r="O99">
        <f>IF(N99="","",N99*Parameters!$B$2)</f>
        <v>160000</v>
      </c>
      <c r="P99">
        <f t="shared" si="11"/>
        <v>1233041.2</v>
      </c>
      <c r="Q99">
        <v>600</v>
      </c>
      <c r="R99">
        <f>IF(Q99="","",Q99*Parameters!$B$2)</f>
        <v>192000</v>
      </c>
      <c r="S99">
        <f>IF(OR(G99="",R99=""),"",G99+R99)</f>
        <v>1265041.2</v>
      </c>
      <c r="T99">
        <v>700</v>
      </c>
      <c r="U99">
        <f>IF(T99="","",T99*Parameters!$B$2)</f>
        <v>224000</v>
      </c>
      <c r="V99">
        <f>IF(OR(G99="",U99=""),"",G99+U99)</f>
        <v>1297041.2</v>
      </c>
    </row>
    <row r="100" spans="1:22">
      <c r="A100" t="s">
        <v>438</v>
      </c>
      <c r="B100" t="s">
        <v>506</v>
      </c>
      <c r="C100" t="s">
        <v>16</v>
      </c>
      <c r="D100" t="s">
        <v>16</v>
      </c>
      <c r="E100" t="s">
        <v>50</v>
      </c>
      <c r="F100" s="2">
        <v>5109720</v>
      </c>
      <c r="G100">
        <f>IF(F100="","",F100*Parameters!$B$1)</f>
        <v>1073041.2</v>
      </c>
      <c r="H100">
        <v>1100</v>
      </c>
      <c r="I100">
        <f>IF(H100="","",H100*Parameters!$B$2)</f>
        <v>352000</v>
      </c>
      <c r="J100">
        <f t="shared" si="9"/>
        <v>1425041.2</v>
      </c>
      <c r="K100">
        <v>1200</v>
      </c>
      <c r="L100">
        <f>IF(K100="","",K100*Parameters!$B$2)</f>
        <v>384000</v>
      </c>
      <c r="M100">
        <f t="shared" si="10"/>
        <v>1457041.2</v>
      </c>
      <c r="N100">
        <v>500</v>
      </c>
      <c r="O100">
        <f>IF(N100="","",N100*Parameters!$B$2)</f>
        <v>160000</v>
      </c>
      <c r="P100">
        <f t="shared" si="11"/>
        <v>1233041.2</v>
      </c>
      <c r="Q100">
        <v>600</v>
      </c>
      <c r="R100">
        <f>IF(Q100="","",Q100*Parameters!$B$2)</f>
        <v>192000</v>
      </c>
      <c r="S100">
        <f>IF(OR(G100="",R100=""),"",G100+R100)</f>
        <v>1265041.2</v>
      </c>
      <c r="T100">
        <v>700</v>
      </c>
      <c r="U100">
        <f>IF(T100="","",T100*Parameters!$B$2)</f>
        <v>224000</v>
      </c>
      <c r="V100">
        <f>IF(OR(G100="",U100=""),"",G100+U100)</f>
        <v>1297041.2</v>
      </c>
    </row>
    <row r="101" spans="1:22">
      <c r="A101" t="s">
        <v>438</v>
      </c>
      <c r="B101" t="s">
        <v>507</v>
      </c>
      <c r="C101" t="s">
        <v>15</v>
      </c>
      <c r="D101" t="s">
        <v>16</v>
      </c>
      <c r="E101" t="s">
        <v>50</v>
      </c>
      <c r="F101" s="2">
        <v>5109720</v>
      </c>
      <c r="G101">
        <f>IF(F101="","",F101*Parameters!$B$1)</f>
        <v>1073041.2</v>
      </c>
      <c r="H101">
        <v>1100</v>
      </c>
      <c r="I101">
        <f>IF(H101="","",H101*Parameters!$B$2)</f>
        <v>352000</v>
      </c>
      <c r="J101">
        <f t="shared" si="9"/>
        <v>1425041.2</v>
      </c>
      <c r="K101">
        <v>1200</v>
      </c>
      <c r="L101">
        <f>IF(K101="","",K101*Parameters!$B$2)</f>
        <v>384000</v>
      </c>
      <c r="M101">
        <f t="shared" si="10"/>
        <v>1457041.2</v>
      </c>
      <c r="N101">
        <v>500</v>
      </c>
      <c r="O101">
        <f>IF(N101="","",N101*Parameters!$B$2)</f>
        <v>160000</v>
      </c>
      <c r="P101">
        <f t="shared" si="11"/>
        <v>1233041.2</v>
      </c>
      <c r="Q101">
        <v>600</v>
      </c>
      <c r="R101">
        <f>IF(Q101="","",Q101*Parameters!$B$2)</f>
        <v>192000</v>
      </c>
      <c r="S101">
        <f>IF(OR(G101="",R101=""),"",G101+R101)</f>
        <v>1265041.2</v>
      </c>
      <c r="T101">
        <v>700</v>
      </c>
      <c r="U101">
        <f>IF(T101="","",T101*Parameters!$B$2)</f>
        <v>224000</v>
      </c>
      <c r="V101">
        <f>IF(OR(G101="",U101=""),"",G101+U101)</f>
        <v>1297041.2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D63FE-203A-4C70-AF6A-3D94034A43CF}">
  <dimension ref="A1:P149"/>
  <sheetViews>
    <sheetView topLeftCell="A87" workbookViewId="0">
      <selection activeCell="B107" sqref="B107"/>
    </sheetView>
  </sheetViews>
  <sheetFormatPr defaultRowHeight="15"/>
  <cols>
    <col min="1" max="1" width="18" customWidth="1"/>
    <col min="2" max="2" width="33" customWidth="1"/>
    <col min="6" max="6" width="16" customWidth="1"/>
    <col min="7" max="7" width="14.85546875" customWidth="1"/>
    <col min="8" max="8" width="9.5703125" bestFit="1" customWidth="1"/>
    <col min="9" max="9" width="16.42578125" customWidth="1"/>
    <col min="10" max="10" width="16.7109375" customWidth="1"/>
    <col min="12" max="12" width="15.85546875" customWidth="1"/>
    <col min="13" max="13" width="20" customWidth="1"/>
    <col min="14" max="14" width="14.140625" customWidth="1"/>
    <col min="15" max="15" width="17.85546875" customWidth="1"/>
    <col min="16" max="16" width="15.42578125" customWidth="1"/>
  </cols>
  <sheetData>
    <row r="1" spans="1:16" ht="15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508</v>
      </c>
      <c r="G1" s="4" t="s">
        <v>509</v>
      </c>
      <c r="H1" s="4" t="s">
        <v>5</v>
      </c>
      <c r="I1" s="5" t="s">
        <v>6</v>
      </c>
      <c r="J1" s="5" t="s">
        <v>510</v>
      </c>
      <c r="K1" s="4" t="s">
        <v>362</v>
      </c>
      <c r="L1" s="4" t="s">
        <v>71</v>
      </c>
      <c r="M1" s="6" t="s">
        <v>72</v>
      </c>
      <c r="N1" s="4" t="s">
        <v>363</v>
      </c>
      <c r="O1" s="4" t="s">
        <v>74</v>
      </c>
      <c r="P1" s="6" t="s">
        <v>75</v>
      </c>
    </row>
    <row r="2" spans="1:16">
      <c r="A2" t="s">
        <v>511</v>
      </c>
      <c r="B2" t="s">
        <v>154</v>
      </c>
      <c r="C2" t="s">
        <v>15</v>
      </c>
      <c r="D2" t="s">
        <v>15</v>
      </c>
      <c r="E2" t="s">
        <v>17</v>
      </c>
      <c r="G2" s="2" t="str">
        <f>IF(F2="","",F2*Parameters!$B$1)</f>
        <v/>
      </c>
      <c r="H2" s="2">
        <v>4768000</v>
      </c>
      <c r="I2">
        <f>IF(H2="","",H2*Parameters!$B$1)</f>
        <v>1001280</v>
      </c>
      <c r="J2" t="str">
        <f t="shared" ref="J2:J33" si="0">IF(OR(G2="",I2=""),"",G2+I2)</f>
        <v/>
      </c>
      <c r="K2" s="2">
        <v>2114000</v>
      </c>
      <c r="L2">
        <f>IF(K2="","",K2*Parameters!$B$1)</f>
        <v>443940</v>
      </c>
      <c r="M2">
        <f t="shared" ref="M2:M33" si="1">IF(OR(I2="",L2=""),"",I2+L2)</f>
        <v>1445220</v>
      </c>
      <c r="N2" s="2">
        <v>3047000</v>
      </c>
      <c r="O2">
        <f>IF(N2="","",N2*Parameters!$B$1)</f>
        <v>639870</v>
      </c>
      <c r="P2">
        <f t="shared" ref="P2:P33" si="2">IF(OR(I2="",O2=""),"",I2+O2)</f>
        <v>1641150</v>
      </c>
    </row>
    <row r="3" spans="1:16">
      <c r="A3" t="s">
        <v>511</v>
      </c>
      <c r="B3" t="s">
        <v>478</v>
      </c>
      <c r="C3" t="s">
        <v>15</v>
      </c>
      <c r="D3" t="s">
        <v>15</v>
      </c>
      <c r="E3" t="s">
        <v>17</v>
      </c>
      <c r="G3" s="2" t="str">
        <f>IF(F3="","",F3*Parameters!$B$1)</f>
        <v/>
      </c>
      <c r="H3" s="2">
        <v>4768000</v>
      </c>
      <c r="I3">
        <f>IF(H3="","",H3*Parameters!$B$1)</f>
        <v>1001280</v>
      </c>
      <c r="J3" t="str">
        <f t="shared" si="0"/>
        <v/>
      </c>
      <c r="K3" s="2">
        <v>2114000</v>
      </c>
      <c r="L3">
        <f>IF(K3="","",K3*Parameters!$B$1)</f>
        <v>443940</v>
      </c>
      <c r="M3">
        <f t="shared" si="1"/>
        <v>1445220</v>
      </c>
      <c r="N3" s="2">
        <v>3047000</v>
      </c>
      <c r="O3">
        <f>IF(N3="","",N3*Parameters!$B$1)</f>
        <v>639870</v>
      </c>
      <c r="P3">
        <f t="shared" si="2"/>
        <v>1641150</v>
      </c>
    </row>
    <row r="4" spans="1:16">
      <c r="A4" t="s">
        <v>511</v>
      </c>
      <c r="B4" t="s">
        <v>161</v>
      </c>
      <c r="C4" t="s">
        <v>15</v>
      </c>
      <c r="D4" t="s">
        <v>15</v>
      </c>
      <c r="E4" t="s">
        <v>17</v>
      </c>
      <c r="G4" s="2" t="str">
        <f>IF(F4="","",F4*Parameters!$B$1)</f>
        <v/>
      </c>
      <c r="H4" s="2">
        <v>4768000</v>
      </c>
      <c r="I4">
        <f>IF(H4="","",H4*Parameters!$B$1)</f>
        <v>1001280</v>
      </c>
      <c r="J4" t="str">
        <f t="shared" si="0"/>
        <v/>
      </c>
      <c r="K4" s="2">
        <v>2114000</v>
      </c>
      <c r="L4">
        <f>IF(K4="","",K4*Parameters!$B$1)</f>
        <v>443940</v>
      </c>
      <c r="M4">
        <f t="shared" si="1"/>
        <v>1445220</v>
      </c>
      <c r="N4" s="2">
        <v>3047000</v>
      </c>
      <c r="O4">
        <f>IF(N4="","",N4*Parameters!$B$1)</f>
        <v>639870</v>
      </c>
      <c r="P4">
        <f t="shared" si="2"/>
        <v>1641150</v>
      </c>
    </row>
    <row r="5" spans="1:16">
      <c r="A5" t="s">
        <v>511</v>
      </c>
      <c r="B5" t="s">
        <v>162</v>
      </c>
      <c r="C5" t="s">
        <v>15</v>
      </c>
      <c r="D5" t="s">
        <v>15</v>
      </c>
      <c r="E5" t="s">
        <v>17</v>
      </c>
      <c r="G5" s="2" t="str">
        <f>IF(F5="","",F5*Parameters!$B$1)</f>
        <v/>
      </c>
      <c r="H5" s="2">
        <v>4768000</v>
      </c>
      <c r="I5">
        <f>IF(H5="","",H5*Parameters!$B$1)</f>
        <v>1001280</v>
      </c>
      <c r="J5" t="str">
        <f t="shared" si="0"/>
        <v/>
      </c>
      <c r="K5" s="2">
        <v>2114000</v>
      </c>
      <c r="L5">
        <f>IF(K5="","",K5*Parameters!$B$1)</f>
        <v>443940</v>
      </c>
      <c r="M5">
        <f t="shared" si="1"/>
        <v>1445220</v>
      </c>
      <c r="N5" s="2">
        <v>3047000</v>
      </c>
      <c r="O5">
        <f>IF(N5="","",N5*Parameters!$B$1)</f>
        <v>639870</v>
      </c>
      <c r="P5">
        <f t="shared" si="2"/>
        <v>1641150</v>
      </c>
    </row>
    <row r="6" spans="1:16">
      <c r="A6" t="s">
        <v>511</v>
      </c>
      <c r="B6" t="s">
        <v>157</v>
      </c>
      <c r="C6" t="s">
        <v>15</v>
      </c>
      <c r="D6" t="s">
        <v>15</v>
      </c>
      <c r="E6" t="s">
        <v>17</v>
      </c>
      <c r="G6" s="2" t="str">
        <f>IF(F6="","",F6*Parameters!$B$1)</f>
        <v/>
      </c>
      <c r="H6" s="2">
        <v>4768000</v>
      </c>
      <c r="I6">
        <f>IF(H6="","",H6*Parameters!$B$1)</f>
        <v>1001280</v>
      </c>
      <c r="J6" t="str">
        <f t="shared" si="0"/>
        <v/>
      </c>
      <c r="K6" s="2">
        <v>2114000</v>
      </c>
      <c r="L6">
        <f>IF(K6="","",K6*Parameters!$B$1)</f>
        <v>443940</v>
      </c>
      <c r="M6">
        <f t="shared" si="1"/>
        <v>1445220</v>
      </c>
      <c r="N6" s="2">
        <v>3047000</v>
      </c>
      <c r="O6">
        <f>IF(N6="","",N6*Parameters!$B$1)</f>
        <v>639870</v>
      </c>
      <c r="P6">
        <f t="shared" si="2"/>
        <v>1641150</v>
      </c>
    </row>
    <row r="7" spans="1:16">
      <c r="A7" t="s">
        <v>511</v>
      </c>
      <c r="B7" t="s">
        <v>512</v>
      </c>
      <c r="C7" t="s">
        <v>15</v>
      </c>
      <c r="D7" t="s">
        <v>15</v>
      </c>
      <c r="E7" t="s">
        <v>17</v>
      </c>
      <c r="G7" s="2" t="str">
        <f>IF(F7="","",F7*Parameters!$B$1)</f>
        <v/>
      </c>
      <c r="H7" s="2">
        <v>4768000</v>
      </c>
      <c r="I7">
        <f>IF(H7="","",H7*Parameters!$B$1)</f>
        <v>1001280</v>
      </c>
      <c r="J7" t="str">
        <f t="shared" si="0"/>
        <v/>
      </c>
      <c r="K7" s="2">
        <v>2114000</v>
      </c>
      <c r="L7">
        <f>IF(K7="","",K7*Parameters!$B$1)</f>
        <v>443940</v>
      </c>
      <c r="M7">
        <f t="shared" si="1"/>
        <v>1445220</v>
      </c>
      <c r="N7" s="2">
        <v>3047000</v>
      </c>
      <c r="O7">
        <f>IF(N7="","",N7*Parameters!$B$1)</f>
        <v>639870</v>
      </c>
      <c r="P7">
        <f t="shared" si="2"/>
        <v>1641150</v>
      </c>
    </row>
    <row r="8" spans="1:16">
      <c r="A8" t="s">
        <v>511</v>
      </c>
      <c r="B8" t="s">
        <v>513</v>
      </c>
      <c r="C8" t="s">
        <v>15</v>
      </c>
      <c r="D8" t="s">
        <v>15</v>
      </c>
      <c r="E8" t="s">
        <v>17</v>
      </c>
      <c r="G8" s="2" t="str">
        <f>IF(F8="","",F8*Parameters!$B$1)</f>
        <v/>
      </c>
      <c r="H8" s="2">
        <v>4768000</v>
      </c>
      <c r="I8">
        <f>IF(H8="","",H8*Parameters!$B$1)</f>
        <v>1001280</v>
      </c>
      <c r="J8" t="str">
        <f t="shared" si="0"/>
        <v/>
      </c>
      <c r="K8" s="2">
        <v>2114000</v>
      </c>
      <c r="L8">
        <f>IF(K8="","",K8*Parameters!$B$1)</f>
        <v>443940</v>
      </c>
      <c r="M8">
        <f t="shared" si="1"/>
        <v>1445220</v>
      </c>
      <c r="N8" s="2">
        <v>3047000</v>
      </c>
      <c r="O8">
        <f>IF(N8="","",N8*Parameters!$B$1)</f>
        <v>639870</v>
      </c>
      <c r="P8">
        <f t="shared" si="2"/>
        <v>1641150</v>
      </c>
    </row>
    <row r="9" spans="1:16">
      <c r="A9" t="s">
        <v>511</v>
      </c>
      <c r="B9" t="s">
        <v>514</v>
      </c>
      <c r="C9" t="s">
        <v>15</v>
      </c>
      <c r="D9" t="s">
        <v>15</v>
      </c>
      <c r="E9" t="s">
        <v>17</v>
      </c>
      <c r="G9" s="2" t="str">
        <f>IF(F9="","",F9*Parameters!$B$1)</f>
        <v/>
      </c>
      <c r="H9" s="2">
        <v>4768000</v>
      </c>
      <c r="I9">
        <f>IF(H9="","",H9*Parameters!$B$1)</f>
        <v>1001280</v>
      </c>
      <c r="J9" t="str">
        <f t="shared" si="0"/>
        <v/>
      </c>
      <c r="K9" s="2">
        <v>2114000</v>
      </c>
      <c r="L9">
        <f>IF(K9="","",K9*Parameters!$B$1)</f>
        <v>443940</v>
      </c>
      <c r="M9">
        <f t="shared" si="1"/>
        <v>1445220</v>
      </c>
      <c r="N9" s="2">
        <v>3047000</v>
      </c>
      <c r="O9">
        <f>IF(N9="","",N9*Parameters!$B$1)</f>
        <v>639870</v>
      </c>
      <c r="P9">
        <f t="shared" si="2"/>
        <v>1641150</v>
      </c>
    </row>
    <row r="10" spans="1:16">
      <c r="A10" t="s">
        <v>511</v>
      </c>
      <c r="B10" t="s">
        <v>515</v>
      </c>
      <c r="C10" t="s">
        <v>15</v>
      </c>
      <c r="D10" t="s">
        <v>15</v>
      </c>
      <c r="E10" t="s">
        <v>17</v>
      </c>
      <c r="G10" s="2" t="str">
        <f>IF(F10="","",F10*Parameters!$B$1)</f>
        <v/>
      </c>
      <c r="H10" s="2">
        <v>4768000</v>
      </c>
      <c r="I10">
        <f>IF(H10="","",H10*Parameters!$B$1)</f>
        <v>1001280</v>
      </c>
      <c r="J10" t="str">
        <f t="shared" si="0"/>
        <v/>
      </c>
      <c r="K10" s="2">
        <v>2114000</v>
      </c>
      <c r="L10">
        <f>IF(K10="","",K10*Parameters!$B$1)</f>
        <v>443940</v>
      </c>
      <c r="M10">
        <f t="shared" si="1"/>
        <v>1445220</v>
      </c>
      <c r="N10" s="2">
        <v>3047000</v>
      </c>
      <c r="O10">
        <f>IF(N10="","",N10*Parameters!$B$1)</f>
        <v>639870</v>
      </c>
      <c r="P10">
        <f t="shared" si="2"/>
        <v>1641150</v>
      </c>
    </row>
    <row r="11" spans="1:16">
      <c r="A11" t="s">
        <v>511</v>
      </c>
      <c r="B11" t="s">
        <v>224</v>
      </c>
      <c r="C11" t="s">
        <v>15</v>
      </c>
      <c r="D11" t="s">
        <v>15</v>
      </c>
      <c r="E11" t="s">
        <v>17</v>
      </c>
      <c r="F11" t="s">
        <v>328</v>
      </c>
      <c r="G11" s="2" t="e">
        <f>IF(F11="","",F11*Parameters!$B$1)</f>
        <v>#VALUE!</v>
      </c>
      <c r="H11" s="2">
        <v>6131000</v>
      </c>
      <c r="I11">
        <f>IF(H11="","",H11*Parameters!$B$1)</f>
        <v>1287510</v>
      </c>
      <c r="J11" t="e">
        <f t="shared" si="0"/>
        <v>#VALUE!</v>
      </c>
      <c r="K11" s="2">
        <v>2114000</v>
      </c>
      <c r="L11">
        <f>IF(K11="","",K11*Parameters!$B$1)</f>
        <v>443940</v>
      </c>
      <c r="M11">
        <f t="shared" si="1"/>
        <v>1731450</v>
      </c>
      <c r="N11" s="2">
        <v>3047000</v>
      </c>
      <c r="O11">
        <f>IF(N11="","",N11*Parameters!$B$1)</f>
        <v>639870</v>
      </c>
      <c r="P11">
        <f t="shared" si="2"/>
        <v>1927380</v>
      </c>
    </row>
    <row r="12" spans="1:16">
      <c r="A12" t="s">
        <v>511</v>
      </c>
      <c r="B12" t="s">
        <v>219</v>
      </c>
      <c r="C12" t="s">
        <v>15</v>
      </c>
      <c r="D12" t="s">
        <v>15</v>
      </c>
      <c r="E12" t="s">
        <v>17</v>
      </c>
      <c r="G12" s="2" t="str">
        <f>IF(F12="","",F12*Parameters!$B$1)</f>
        <v/>
      </c>
      <c r="H12" s="2">
        <v>5720000</v>
      </c>
      <c r="I12">
        <f>IF(H12="","",H12*Parameters!$B$1)</f>
        <v>1201200</v>
      </c>
      <c r="J12" t="str">
        <f t="shared" si="0"/>
        <v/>
      </c>
      <c r="K12" s="2">
        <v>2114000</v>
      </c>
      <c r="L12">
        <f>IF(K12="","",K12*Parameters!$B$1)</f>
        <v>443940</v>
      </c>
      <c r="M12">
        <f t="shared" si="1"/>
        <v>1645140</v>
      </c>
      <c r="N12" s="2">
        <v>3047000</v>
      </c>
      <c r="O12">
        <f>IF(N12="","",N12*Parameters!$B$1)</f>
        <v>639870</v>
      </c>
      <c r="P12">
        <f t="shared" si="2"/>
        <v>1841070</v>
      </c>
    </row>
    <row r="13" spans="1:16">
      <c r="A13" t="s">
        <v>511</v>
      </c>
      <c r="B13" t="s">
        <v>237</v>
      </c>
      <c r="C13" t="s">
        <v>15</v>
      </c>
      <c r="D13" t="s">
        <v>15</v>
      </c>
      <c r="E13" t="s">
        <v>17</v>
      </c>
      <c r="G13" s="2" t="str">
        <f>IF(F13="","",F13*Parameters!$B$1)</f>
        <v/>
      </c>
      <c r="H13" s="2">
        <v>5720000</v>
      </c>
      <c r="I13">
        <f>IF(H13="","",H13*Parameters!$B$1)</f>
        <v>1201200</v>
      </c>
      <c r="J13" t="str">
        <f t="shared" si="0"/>
        <v/>
      </c>
      <c r="K13" s="2">
        <v>2114000</v>
      </c>
      <c r="L13">
        <f>IF(K13="","",K13*Parameters!$B$1)</f>
        <v>443940</v>
      </c>
      <c r="M13">
        <f t="shared" si="1"/>
        <v>1645140</v>
      </c>
      <c r="N13" s="2">
        <v>3047000</v>
      </c>
      <c r="O13">
        <f>IF(N13="","",N13*Parameters!$B$1)</f>
        <v>639870</v>
      </c>
      <c r="P13">
        <f t="shared" si="2"/>
        <v>1841070</v>
      </c>
    </row>
    <row r="14" spans="1:16">
      <c r="A14" t="s">
        <v>511</v>
      </c>
      <c r="B14" t="s">
        <v>516</v>
      </c>
      <c r="C14" t="s">
        <v>15</v>
      </c>
      <c r="D14" t="s">
        <v>15</v>
      </c>
      <c r="E14" t="s">
        <v>17</v>
      </c>
      <c r="G14" s="2" t="str">
        <f>IF(F14="","",F14*Parameters!$B$1)</f>
        <v/>
      </c>
      <c r="H14" s="2">
        <v>5720000</v>
      </c>
      <c r="I14">
        <f>IF(H14="","",H14*Parameters!$B$1)</f>
        <v>1201200</v>
      </c>
      <c r="J14" t="str">
        <f t="shared" si="0"/>
        <v/>
      </c>
      <c r="K14" s="2">
        <v>2114000</v>
      </c>
      <c r="L14">
        <f>IF(K14="","",K14*Parameters!$B$1)</f>
        <v>443940</v>
      </c>
      <c r="M14">
        <f t="shared" si="1"/>
        <v>1645140</v>
      </c>
      <c r="N14" s="2">
        <v>3047000</v>
      </c>
      <c r="O14">
        <f>IF(N14="","",N14*Parameters!$B$1)</f>
        <v>639870</v>
      </c>
      <c r="P14">
        <f t="shared" si="2"/>
        <v>1841070</v>
      </c>
    </row>
    <row r="15" spans="1:16">
      <c r="A15" t="s">
        <v>511</v>
      </c>
      <c r="B15" t="s">
        <v>517</v>
      </c>
      <c r="C15" t="s">
        <v>15</v>
      </c>
      <c r="D15" t="s">
        <v>15</v>
      </c>
      <c r="E15" t="s">
        <v>17</v>
      </c>
      <c r="G15" s="2" t="str">
        <f>IF(F15="","",F15*Parameters!$B$1)</f>
        <v/>
      </c>
      <c r="H15" s="2">
        <v>6675000</v>
      </c>
      <c r="I15">
        <f>IF(H15="","",H15*Parameters!$B$1)</f>
        <v>1401750</v>
      </c>
      <c r="J15" t="str">
        <f t="shared" si="0"/>
        <v/>
      </c>
      <c r="K15" s="2">
        <v>2114000</v>
      </c>
      <c r="L15">
        <f>IF(K15="","",K15*Parameters!$B$1)</f>
        <v>443940</v>
      </c>
      <c r="M15">
        <f t="shared" si="1"/>
        <v>1845690</v>
      </c>
      <c r="N15" s="2">
        <v>3047000</v>
      </c>
      <c r="O15">
        <f>IF(N15="","",N15*Parameters!$B$1)</f>
        <v>639870</v>
      </c>
      <c r="P15">
        <f t="shared" si="2"/>
        <v>2041620</v>
      </c>
    </row>
    <row r="16" spans="1:16">
      <c r="A16" t="s">
        <v>511</v>
      </c>
      <c r="B16" t="s">
        <v>403</v>
      </c>
      <c r="C16" t="s">
        <v>15</v>
      </c>
      <c r="D16" t="s">
        <v>15</v>
      </c>
      <c r="E16" t="s">
        <v>17</v>
      </c>
      <c r="G16" s="2" t="str">
        <f>IF(F16="","",F16*Parameters!$B$1)</f>
        <v/>
      </c>
      <c r="H16" s="2">
        <v>6675000</v>
      </c>
      <c r="I16">
        <f>IF(H16="","",H16*Parameters!$B$1)</f>
        <v>1401750</v>
      </c>
      <c r="J16" t="str">
        <f t="shared" si="0"/>
        <v/>
      </c>
      <c r="K16" s="2">
        <v>2114000</v>
      </c>
      <c r="L16">
        <f>IF(K16="","",K16*Parameters!$B$1)</f>
        <v>443940</v>
      </c>
      <c r="M16">
        <f t="shared" si="1"/>
        <v>1845690</v>
      </c>
      <c r="N16" s="2">
        <v>3047000</v>
      </c>
      <c r="O16">
        <f>IF(N16="","",N16*Parameters!$B$1)</f>
        <v>639870</v>
      </c>
      <c r="P16">
        <f t="shared" si="2"/>
        <v>2041620</v>
      </c>
    </row>
    <row r="17" spans="1:16">
      <c r="A17" t="s">
        <v>511</v>
      </c>
      <c r="B17" t="s">
        <v>250</v>
      </c>
      <c r="C17" t="s">
        <v>15</v>
      </c>
      <c r="D17" t="s">
        <v>15</v>
      </c>
      <c r="E17" t="s">
        <v>17</v>
      </c>
      <c r="G17" s="2" t="str">
        <f>IF(F17="","",F17*Parameters!$B$1)</f>
        <v/>
      </c>
      <c r="H17" s="2">
        <v>6675000</v>
      </c>
      <c r="I17">
        <f>IF(H17="","",H17*Parameters!$B$1)</f>
        <v>1401750</v>
      </c>
      <c r="J17" t="str">
        <f t="shared" si="0"/>
        <v/>
      </c>
      <c r="K17" s="2">
        <v>2114000</v>
      </c>
      <c r="L17">
        <f>IF(K17="","",K17*Parameters!$B$1)</f>
        <v>443940</v>
      </c>
      <c r="M17">
        <f t="shared" si="1"/>
        <v>1845690</v>
      </c>
      <c r="N17" s="2">
        <v>3047000</v>
      </c>
      <c r="O17">
        <f>IF(N17="","",N17*Parameters!$B$1)</f>
        <v>639870</v>
      </c>
      <c r="P17">
        <f t="shared" si="2"/>
        <v>2041620</v>
      </c>
    </row>
    <row r="18" spans="1:16">
      <c r="A18" t="s">
        <v>511</v>
      </c>
      <c r="B18" t="s">
        <v>401</v>
      </c>
      <c r="C18" t="s">
        <v>15</v>
      </c>
      <c r="D18" t="s">
        <v>15</v>
      </c>
      <c r="E18" t="s">
        <v>17</v>
      </c>
      <c r="G18" s="2" t="str">
        <f>IF(F18="","",F18*Parameters!$B$1)</f>
        <v/>
      </c>
      <c r="H18" s="2">
        <v>6675000</v>
      </c>
      <c r="I18">
        <f>IF(H18="","",H18*Parameters!$B$1)</f>
        <v>1401750</v>
      </c>
      <c r="J18" t="str">
        <f t="shared" si="0"/>
        <v/>
      </c>
      <c r="K18" s="2">
        <v>2114000</v>
      </c>
      <c r="L18">
        <f>IF(K18="","",K18*Parameters!$B$1)</f>
        <v>443940</v>
      </c>
      <c r="M18">
        <f t="shared" si="1"/>
        <v>1845690</v>
      </c>
      <c r="N18" s="2">
        <v>3047000</v>
      </c>
      <c r="O18">
        <f>IF(N18="","",N18*Parameters!$B$1)</f>
        <v>639870</v>
      </c>
      <c r="P18">
        <f t="shared" si="2"/>
        <v>2041620</v>
      </c>
    </row>
    <row r="19" spans="1:16">
      <c r="A19" t="s">
        <v>511</v>
      </c>
      <c r="B19" t="s">
        <v>518</v>
      </c>
      <c r="C19" t="s">
        <v>15</v>
      </c>
      <c r="D19" t="s">
        <v>15</v>
      </c>
      <c r="E19" t="s">
        <v>17</v>
      </c>
      <c r="G19" s="2" t="str">
        <f>IF(F19="","",F19*Parameters!$B$1)</f>
        <v/>
      </c>
      <c r="H19" s="2">
        <v>6675000</v>
      </c>
      <c r="I19">
        <f>IF(H19="","",H19*Parameters!$B$1)</f>
        <v>1401750</v>
      </c>
      <c r="J19" t="str">
        <f t="shared" si="0"/>
        <v/>
      </c>
      <c r="K19" s="2">
        <v>2114000</v>
      </c>
      <c r="L19">
        <f>IF(K19="","",K19*Parameters!$B$1)</f>
        <v>443940</v>
      </c>
      <c r="M19">
        <f t="shared" si="1"/>
        <v>1845690</v>
      </c>
      <c r="N19" s="2">
        <v>3047000</v>
      </c>
      <c r="O19">
        <f>IF(N19="","",N19*Parameters!$B$1)</f>
        <v>639870</v>
      </c>
      <c r="P19">
        <f t="shared" si="2"/>
        <v>2041620</v>
      </c>
    </row>
    <row r="20" spans="1:16">
      <c r="A20" t="s">
        <v>511</v>
      </c>
      <c r="B20" t="s">
        <v>519</v>
      </c>
      <c r="C20" t="s">
        <v>15</v>
      </c>
      <c r="D20" t="s">
        <v>15</v>
      </c>
      <c r="E20" t="s">
        <v>17</v>
      </c>
      <c r="G20" s="2" t="str">
        <f>IF(F20="","",F20*Parameters!$B$1)</f>
        <v/>
      </c>
      <c r="H20" s="2">
        <v>6675000</v>
      </c>
      <c r="I20">
        <f>IF(H20="","",H20*Parameters!$B$1)</f>
        <v>1401750</v>
      </c>
      <c r="J20" t="str">
        <f t="shared" si="0"/>
        <v/>
      </c>
      <c r="K20" s="2">
        <v>2114000</v>
      </c>
      <c r="L20">
        <f>IF(K20="","",K20*Parameters!$B$1)</f>
        <v>443940</v>
      </c>
      <c r="M20">
        <f t="shared" si="1"/>
        <v>1845690</v>
      </c>
      <c r="N20" s="2">
        <v>3047000</v>
      </c>
      <c r="O20">
        <f>IF(N20="","",N20*Parameters!$B$1)</f>
        <v>639870</v>
      </c>
      <c r="P20">
        <f t="shared" si="2"/>
        <v>2041620</v>
      </c>
    </row>
    <row r="21" spans="1:16">
      <c r="A21" t="s">
        <v>511</v>
      </c>
      <c r="B21" t="s">
        <v>520</v>
      </c>
      <c r="C21" t="s">
        <v>15</v>
      </c>
      <c r="D21" t="s">
        <v>15</v>
      </c>
      <c r="E21" t="s">
        <v>17</v>
      </c>
      <c r="G21" s="2" t="str">
        <f>IF(F21="","",F21*Parameters!$B$1)</f>
        <v/>
      </c>
      <c r="H21" s="2">
        <v>6675000</v>
      </c>
      <c r="I21">
        <f>IF(H21="","",H21*Parameters!$B$1)</f>
        <v>1401750</v>
      </c>
      <c r="J21" t="str">
        <f t="shared" si="0"/>
        <v/>
      </c>
      <c r="K21" s="2">
        <v>2114000</v>
      </c>
      <c r="L21">
        <f>IF(K21="","",K21*Parameters!$B$1)</f>
        <v>443940</v>
      </c>
      <c r="M21">
        <f t="shared" si="1"/>
        <v>1845690</v>
      </c>
      <c r="N21" s="2">
        <v>3047000</v>
      </c>
      <c r="O21">
        <f>IF(N21="","",N21*Parameters!$B$1)</f>
        <v>639870</v>
      </c>
      <c r="P21">
        <f t="shared" si="2"/>
        <v>2041620</v>
      </c>
    </row>
    <row r="22" spans="1:16">
      <c r="A22" t="s">
        <v>511</v>
      </c>
      <c r="B22" t="s">
        <v>521</v>
      </c>
      <c r="C22" t="s">
        <v>15</v>
      </c>
      <c r="D22" t="s">
        <v>15</v>
      </c>
      <c r="E22" t="s">
        <v>17</v>
      </c>
      <c r="G22" s="2" t="str">
        <f>IF(F22="","",F22*Parameters!$B$1)</f>
        <v/>
      </c>
      <c r="H22" s="2">
        <v>6675000</v>
      </c>
      <c r="I22">
        <f>IF(H22="","",H22*Parameters!$B$1)</f>
        <v>1401750</v>
      </c>
      <c r="J22" t="str">
        <f t="shared" si="0"/>
        <v/>
      </c>
      <c r="K22" s="2">
        <v>2114000</v>
      </c>
      <c r="L22">
        <f>IF(K22="","",K22*Parameters!$B$1)</f>
        <v>443940</v>
      </c>
      <c r="M22">
        <f t="shared" si="1"/>
        <v>1845690</v>
      </c>
      <c r="N22" s="2">
        <v>3047000</v>
      </c>
      <c r="O22">
        <f>IF(N22="","",N22*Parameters!$B$1)</f>
        <v>639870</v>
      </c>
      <c r="P22">
        <f t="shared" si="2"/>
        <v>2041620</v>
      </c>
    </row>
    <row r="23" spans="1:16">
      <c r="A23" t="s">
        <v>511</v>
      </c>
      <c r="B23" t="s">
        <v>522</v>
      </c>
      <c r="C23" t="s">
        <v>15</v>
      </c>
      <c r="D23" t="s">
        <v>15</v>
      </c>
      <c r="E23" t="s">
        <v>17</v>
      </c>
      <c r="G23" s="2" t="str">
        <f>IF(F23="","",F23*Parameters!$B$1)</f>
        <v/>
      </c>
      <c r="H23" s="2">
        <v>6675000</v>
      </c>
      <c r="I23">
        <f>IF(H23="","",H23*Parameters!$B$1)</f>
        <v>1401750</v>
      </c>
      <c r="J23" t="str">
        <f t="shared" si="0"/>
        <v/>
      </c>
      <c r="K23" s="2">
        <v>2114000</v>
      </c>
      <c r="L23">
        <f>IF(K23="","",K23*Parameters!$B$1)</f>
        <v>443940</v>
      </c>
      <c r="M23">
        <f t="shared" si="1"/>
        <v>1845690</v>
      </c>
      <c r="N23" s="2">
        <v>3047000</v>
      </c>
      <c r="O23">
        <f>IF(N23="","",N23*Parameters!$B$1)</f>
        <v>639870</v>
      </c>
      <c r="P23">
        <f t="shared" si="2"/>
        <v>2041620</v>
      </c>
    </row>
    <row r="24" spans="1:16">
      <c r="A24" t="s">
        <v>511</v>
      </c>
      <c r="B24" t="s">
        <v>421</v>
      </c>
      <c r="C24" t="s">
        <v>15</v>
      </c>
      <c r="D24" t="s">
        <v>15</v>
      </c>
      <c r="E24" t="s">
        <v>17</v>
      </c>
      <c r="G24" s="2" t="str">
        <f>IF(F24="","",F24*Parameters!$B$1)</f>
        <v/>
      </c>
      <c r="H24" s="2">
        <v>6675000</v>
      </c>
      <c r="I24">
        <f>IF(H24="","",H24*Parameters!$B$1)</f>
        <v>1401750</v>
      </c>
      <c r="J24" t="str">
        <f t="shared" si="0"/>
        <v/>
      </c>
      <c r="K24" s="2">
        <v>2114000</v>
      </c>
      <c r="L24">
        <f>IF(K24="","",K24*Parameters!$B$1)</f>
        <v>443940</v>
      </c>
      <c r="M24">
        <f t="shared" si="1"/>
        <v>1845690</v>
      </c>
      <c r="N24" s="2">
        <v>3047000</v>
      </c>
      <c r="O24">
        <f>IF(N24="","",N24*Parameters!$B$1)</f>
        <v>639870</v>
      </c>
      <c r="P24">
        <f t="shared" si="2"/>
        <v>2041620</v>
      </c>
    </row>
    <row r="25" spans="1:16">
      <c r="A25" t="s">
        <v>511</v>
      </c>
      <c r="B25" t="s">
        <v>523</v>
      </c>
      <c r="C25" t="s">
        <v>15</v>
      </c>
      <c r="D25" t="s">
        <v>15</v>
      </c>
      <c r="E25" t="s">
        <v>17</v>
      </c>
      <c r="G25" s="2" t="str">
        <f>IF(F25="","",F25*Parameters!$B$1)</f>
        <v/>
      </c>
      <c r="H25" s="2">
        <v>6675000</v>
      </c>
      <c r="I25">
        <f>IF(H25="","",H25*Parameters!$B$1)</f>
        <v>1401750</v>
      </c>
      <c r="J25" t="str">
        <f t="shared" si="0"/>
        <v/>
      </c>
      <c r="K25" s="2">
        <v>2114000</v>
      </c>
      <c r="L25">
        <f>IF(K25="","",K25*Parameters!$B$1)</f>
        <v>443940</v>
      </c>
      <c r="M25">
        <f t="shared" si="1"/>
        <v>1845690</v>
      </c>
      <c r="N25" s="2">
        <v>3047000</v>
      </c>
      <c r="O25">
        <f>IF(N25="","",N25*Parameters!$B$1)</f>
        <v>639870</v>
      </c>
      <c r="P25">
        <f t="shared" si="2"/>
        <v>2041620</v>
      </c>
    </row>
    <row r="26" spans="1:16">
      <c r="A26" t="s">
        <v>511</v>
      </c>
      <c r="B26" t="s">
        <v>199</v>
      </c>
      <c r="C26" t="s">
        <v>15</v>
      </c>
      <c r="D26" t="s">
        <v>15</v>
      </c>
      <c r="E26" t="s">
        <v>17</v>
      </c>
      <c r="G26" s="2" t="str">
        <f>IF(F26="","",F26*Parameters!$B$1)</f>
        <v/>
      </c>
      <c r="H26" s="2">
        <v>4768000</v>
      </c>
      <c r="I26">
        <f>IF(H26="","",H26*Parameters!$B$1)</f>
        <v>1001280</v>
      </c>
      <c r="J26" t="str">
        <f t="shared" si="0"/>
        <v/>
      </c>
      <c r="K26" s="2">
        <v>2114000</v>
      </c>
      <c r="L26">
        <f>IF(K26="","",K26*Parameters!$B$1)</f>
        <v>443940</v>
      </c>
      <c r="M26">
        <f t="shared" si="1"/>
        <v>1445220</v>
      </c>
      <c r="N26" s="2">
        <v>3047000</v>
      </c>
      <c r="O26">
        <f>IF(N26="","",N26*Parameters!$B$1)</f>
        <v>639870</v>
      </c>
      <c r="P26">
        <f t="shared" si="2"/>
        <v>1641150</v>
      </c>
    </row>
    <row r="27" spans="1:16">
      <c r="A27" t="s">
        <v>511</v>
      </c>
      <c r="B27" t="s">
        <v>176</v>
      </c>
      <c r="C27" t="s">
        <v>15</v>
      </c>
      <c r="D27" t="s">
        <v>15</v>
      </c>
      <c r="E27" t="s">
        <v>17</v>
      </c>
      <c r="G27" s="2" t="str">
        <f>IF(F27="","",F27*Parameters!$B$1)</f>
        <v/>
      </c>
      <c r="H27" s="2">
        <v>4768000</v>
      </c>
      <c r="I27">
        <f>IF(H27="","",H27*Parameters!$B$1)</f>
        <v>1001280</v>
      </c>
      <c r="J27" t="str">
        <f t="shared" si="0"/>
        <v/>
      </c>
      <c r="K27" s="2">
        <v>2114000</v>
      </c>
      <c r="L27">
        <f>IF(K27="","",K27*Parameters!$B$1)</f>
        <v>443940</v>
      </c>
      <c r="M27">
        <f t="shared" si="1"/>
        <v>1445220</v>
      </c>
      <c r="N27" s="2">
        <v>3047000</v>
      </c>
      <c r="O27">
        <f>IF(N27="","",N27*Parameters!$B$1)</f>
        <v>639870</v>
      </c>
      <c r="P27">
        <f t="shared" si="2"/>
        <v>1641150</v>
      </c>
    </row>
    <row r="28" spans="1:16">
      <c r="A28" t="s">
        <v>511</v>
      </c>
      <c r="B28" t="s">
        <v>376</v>
      </c>
      <c r="C28" t="s">
        <v>15</v>
      </c>
      <c r="D28" t="s">
        <v>15</v>
      </c>
      <c r="E28" t="s">
        <v>17</v>
      </c>
      <c r="G28" s="2" t="str">
        <f>IF(F28="","",F28*Parameters!$B$1)</f>
        <v/>
      </c>
      <c r="H28" s="2">
        <v>4768000</v>
      </c>
      <c r="I28">
        <f>IF(H28="","",H28*Parameters!$B$1)</f>
        <v>1001280</v>
      </c>
      <c r="J28" t="str">
        <f t="shared" si="0"/>
        <v/>
      </c>
      <c r="K28" s="2">
        <v>2114000</v>
      </c>
      <c r="L28">
        <f>IF(K28="","",K28*Parameters!$B$1)</f>
        <v>443940</v>
      </c>
      <c r="M28">
        <f t="shared" si="1"/>
        <v>1445220</v>
      </c>
      <c r="N28" s="2">
        <v>3047000</v>
      </c>
      <c r="O28">
        <f>IF(N28="","",N28*Parameters!$B$1)</f>
        <v>639870</v>
      </c>
      <c r="P28">
        <f t="shared" si="2"/>
        <v>1641150</v>
      </c>
    </row>
    <row r="29" spans="1:16">
      <c r="A29" t="s">
        <v>511</v>
      </c>
      <c r="B29" t="s">
        <v>524</v>
      </c>
      <c r="C29" t="s">
        <v>15</v>
      </c>
      <c r="D29" t="s">
        <v>15</v>
      </c>
      <c r="E29" t="s">
        <v>17</v>
      </c>
      <c r="G29" s="2" t="str">
        <f>IF(F29="","",F29*Parameters!$B$1)</f>
        <v/>
      </c>
      <c r="H29" s="2">
        <v>4768000</v>
      </c>
      <c r="I29">
        <f>IF(H29="","",H29*Parameters!$B$1)</f>
        <v>1001280</v>
      </c>
      <c r="J29" t="str">
        <f t="shared" si="0"/>
        <v/>
      </c>
      <c r="K29" s="2">
        <v>2114000</v>
      </c>
      <c r="L29">
        <f>IF(K29="","",K29*Parameters!$B$1)</f>
        <v>443940</v>
      </c>
      <c r="M29">
        <f t="shared" si="1"/>
        <v>1445220</v>
      </c>
      <c r="N29" s="2">
        <v>3047000</v>
      </c>
      <c r="O29">
        <f>IF(N29="","",N29*Parameters!$B$1)</f>
        <v>639870</v>
      </c>
      <c r="P29">
        <f t="shared" si="2"/>
        <v>1641150</v>
      </c>
    </row>
    <row r="30" spans="1:16">
      <c r="A30" t="s">
        <v>511</v>
      </c>
      <c r="B30" t="s">
        <v>525</v>
      </c>
      <c r="C30" t="s">
        <v>15</v>
      </c>
      <c r="D30" t="s">
        <v>15</v>
      </c>
      <c r="E30" t="s">
        <v>17</v>
      </c>
      <c r="G30" s="2" t="str">
        <f>IF(F30="","",F30*Parameters!$B$1)</f>
        <v/>
      </c>
      <c r="H30" s="2">
        <v>4768000</v>
      </c>
      <c r="I30">
        <f>IF(H30="","",H30*Parameters!$B$1)</f>
        <v>1001280</v>
      </c>
      <c r="J30" t="str">
        <f t="shared" si="0"/>
        <v/>
      </c>
      <c r="K30" s="2">
        <v>2114000</v>
      </c>
      <c r="L30">
        <f>IF(K30="","",K30*Parameters!$B$1)</f>
        <v>443940</v>
      </c>
      <c r="M30">
        <f t="shared" si="1"/>
        <v>1445220</v>
      </c>
      <c r="N30" s="2">
        <v>3047000</v>
      </c>
      <c r="O30">
        <f>IF(N30="","",N30*Parameters!$B$1)</f>
        <v>639870</v>
      </c>
      <c r="P30">
        <f t="shared" si="2"/>
        <v>1641150</v>
      </c>
    </row>
    <row r="31" spans="1:16">
      <c r="A31" t="s">
        <v>511</v>
      </c>
      <c r="B31" t="s">
        <v>526</v>
      </c>
      <c r="C31" t="s">
        <v>15</v>
      </c>
      <c r="D31" t="s">
        <v>15</v>
      </c>
      <c r="E31" t="s">
        <v>17</v>
      </c>
      <c r="G31" s="2" t="str">
        <f>IF(F31="","",F31*Parameters!$B$1)</f>
        <v/>
      </c>
      <c r="H31" s="2">
        <v>4768000</v>
      </c>
      <c r="I31">
        <f>IF(H31="","",H31*Parameters!$B$1)</f>
        <v>1001280</v>
      </c>
      <c r="J31" t="str">
        <f t="shared" si="0"/>
        <v/>
      </c>
      <c r="K31" s="2">
        <v>2114000</v>
      </c>
      <c r="L31">
        <f>IF(K31="","",K31*Parameters!$B$1)</f>
        <v>443940</v>
      </c>
      <c r="M31">
        <f t="shared" si="1"/>
        <v>1445220</v>
      </c>
      <c r="N31" s="2">
        <v>3047000</v>
      </c>
      <c r="O31">
        <f>IF(N31="","",N31*Parameters!$B$1)</f>
        <v>639870</v>
      </c>
      <c r="P31">
        <f t="shared" si="2"/>
        <v>1641150</v>
      </c>
    </row>
    <row r="32" spans="1:16">
      <c r="A32" t="s">
        <v>511</v>
      </c>
      <c r="B32" t="s">
        <v>41</v>
      </c>
      <c r="C32" t="s">
        <v>15</v>
      </c>
      <c r="D32" t="s">
        <v>15</v>
      </c>
      <c r="E32" t="s">
        <v>17</v>
      </c>
      <c r="G32" s="2" t="str">
        <f>IF(F32="","",F32*Parameters!$B$1)</f>
        <v/>
      </c>
      <c r="H32" s="2">
        <v>4768000</v>
      </c>
      <c r="I32">
        <f>IF(H32="","",H32*Parameters!$B$1)</f>
        <v>1001280</v>
      </c>
      <c r="J32" t="str">
        <f t="shared" si="0"/>
        <v/>
      </c>
      <c r="K32" s="2">
        <v>2114000</v>
      </c>
      <c r="L32">
        <f>IF(K32="","",K32*Parameters!$B$1)</f>
        <v>443940</v>
      </c>
      <c r="M32">
        <f t="shared" si="1"/>
        <v>1445220</v>
      </c>
      <c r="N32" s="2">
        <v>3047000</v>
      </c>
      <c r="O32">
        <f>IF(N32="","",N32*Parameters!$B$1)</f>
        <v>639870</v>
      </c>
      <c r="P32">
        <f t="shared" si="2"/>
        <v>1641150</v>
      </c>
    </row>
    <row r="33" spans="1:16">
      <c r="A33" t="s">
        <v>511</v>
      </c>
      <c r="B33" t="s">
        <v>527</v>
      </c>
      <c r="C33" t="s">
        <v>15</v>
      </c>
      <c r="D33" t="s">
        <v>15</v>
      </c>
      <c r="E33" t="s">
        <v>17</v>
      </c>
      <c r="G33" s="2" t="str">
        <f>IF(F33="","",F33*Parameters!$B$1)</f>
        <v/>
      </c>
      <c r="H33" s="2">
        <v>4768000</v>
      </c>
      <c r="I33">
        <f>IF(H33="","",H33*Parameters!$B$1)</f>
        <v>1001280</v>
      </c>
      <c r="J33" t="str">
        <f t="shared" si="0"/>
        <v/>
      </c>
      <c r="K33" s="2">
        <v>2114000</v>
      </c>
      <c r="L33">
        <f>IF(K33="","",K33*Parameters!$B$1)</f>
        <v>443940</v>
      </c>
      <c r="M33">
        <f t="shared" si="1"/>
        <v>1445220</v>
      </c>
      <c r="N33" s="2">
        <v>3047000</v>
      </c>
      <c r="O33">
        <f>IF(N33="","",N33*Parameters!$B$1)</f>
        <v>639870</v>
      </c>
      <c r="P33">
        <f t="shared" si="2"/>
        <v>1641150</v>
      </c>
    </row>
    <row r="34" spans="1:16">
      <c r="A34" t="s">
        <v>511</v>
      </c>
      <c r="B34" t="s">
        <v>412</v>
      </c>
      <c r="C34" t="s">
        <v>15</v>
      </c>
      <c r="D34" t="s">
        <v>15</v>
      </c>
      <c r="E34" t="s">
        <v>17</v>
      </c>
      <c r="G34" s="2" t="str">
        <f>IF(F34="","",F34*Parameters!$B$1)</f>
        <v/>
      </c>
      <c r="H34" s="2">
        <v>4768000</v>
      </c>
      <c r="I34">
        <f>IF(H34="","",H34*Parameters!$B$1)</f>
        <v>1001280</v>
      </c>
      <c r="J34" t="str">
        <f t="shared" ref="J34:J65" si="3">IF(OR(G34="",I34=""),"",G34+I34)</f>
        <v/>
      </c>
      <c r="K34" s="2">
        <v>2114000</v>
      </c>
      <c r="L34">
        <f>IF(K34="","",K34*Parameters!$B$1)</f>
        <v>443940</v>
      </c>
      <c r="M34">
        <f t="shared" ref="M34:M47" si="4">IF(OR(I34="",L34=""),"",I34+L34)</f>
        <v>1445220</v>
      </c>
      <c r="N34" s="2">
        <v>3047000</v>
      </c>
      <c r="O34">
        <f>IF(N34="","",N34*Parameters!$B$1)</f>
        <v>639870</v>
      </c>
      <c r="P34">
        <f t="shared" ref="P34:P47" si="5">IF(OR(I34="",O34=""),"",I34+O34)</f>
        <v>1641150</v>
      </c>
    </row>
    <row r="35" spans="1:16">
      <c r="A35" t="s">
        <v>511</v>
      </c>
      <c r="B35" t="s">
        <v>528</v>
      </c>
      <c r="C35" t="s">
        <v>15</v>
      </c>
      <c r="D35" t="s">
        <v>15</v>
      </c>
      <c r="E35" t="s">
        <v>17</v>
      </c>
      <c r="G35" s="2" t="str">
        <f>IF(F35="","",F35*Parameters!$B$1)</f>
        <v/>
      </c>
      <c r="H35" s="2">
        <v>4768000</v>
      </c>
      <c r="I35">
        <f>IF(H35="","",H35*Parameters!$B$1)</f>
        <v>1001280</v>
      </c>
      <c r="J35" t="str">
        <f t="shared" si="3"/>
        <v/>
      </c>
      <c r="K35" s="2">
        <v>2114000</v>
      </c>
      <c r="L35">
        <f>IF(K35="","",K35*Parameters!$B$1)</f>
        <v>443940</v>
      </c>
      <c r="M35">
        <f t="shared" si="4"/>
        <v>1445220</v>
      </c>
      <c r="N35" s="2">
        <v>3047000</v>
      </c>
      <c r="O35">
        <f>IF(N35="","",N35*Parameters!$B$1)</f>
        <v>639870</v>
      </c>
      <c r="P35">
        <f t="shared" si="5"/>
        <v>1641150</v>
      </c>
    </row>
    <row r="36" spans="1:16">
      <c r="A36" t="s">
        <v>511</v>
      </c>
      <c r="B36" t="s">
        <v>529</v>
      </c>
      <c r="C36" t="s">
        <v>15</v>
      </c>
      <c r="D36" t="s">
        <v>15</v>
      </c>
      <c r="E36" t="s">
        <v>17</v>
      </c>
      <c r="G36" s="2" t="str">
        <f>IF(F36="","",F36*Parameters!$B$1)</f>
        <v/>
      </c>
      <c r="H36" s="2">
        <v>4768000</v>
      </c>
      <c r="I36">
        <f>IF(H36="","",H36*Parameters!$B$1)</f>
        <v>1001280</v>
      </c>
      <c r="J36" t="str">
        <f t="shared" si="3"/>
        <v/>
      </c>
      <c r="K36" s="2">
        <v>2114000</v>
      </c>
      <c r="L36">
        <f>IF(K36="","",K36*Parameters!$B$1)</f>
        <v>443940</v>
      </c>
      <c r="M36">
        <f t="shared" si="4"/>
        <v>1445220</v>
      </c>
      <c r="N36" s="2">
        <v>3047000</v>
      </c>
      <c r="O36">
        <f>IF(N36="","",N36*Parameters!$B$1)</f>
        <v>639870</v>
      </c>
      <c r="P36">
        <f t="shared" si="5"/>
        <v>1641150</v>
      </c>
    </row>
    <row r="37" spans="1:16">
      <c r="A37" t="s">
        <v>511</v>
      </c>
      <c r="B37" t="s">
        <v>530</v>
      </c>
      <c r="C37" t="s">
        <v>15</v>
      </c>
      <c r="D37" t="s">
        <v>15</v>
      </c>
      <c r="E37" t="s">
        <v>17</v>
      </c>
      <c r="G37" s="2" t="str">
        <f>IF(F37="","",F37*Parameters!$B$1)</f>
        <v/>
      </c>
      <c r="H37" s="2">
        <v>4768000</v>
      </c>
      <c r="I37">
        <f>IF(H37="","",H37*Parameters!$B$1)</f>
        <v>1001280</v>
      </c>
      <c r="J37" t="str">
        <f t="shared" si="3"/>
        <v/>
      </c>
      <c r="K37" s="2">
        <v>2114000</v>
      </c>
      <c r="L37">
        <f>IF(K37="","",K37*Parameters!$B$1)</f>
        <v>443940</v>
      </c>
      <c r="M37">
        <f t="shared" si="4"/>
        <v>1445220</v>
      </c>
      <c r="N37" s="2">
        <v>3047000</v>
      </c>
      <c r="O37">
        <f>IF(N37="","",N37*Parameters!$B$1)</f>
        <v>639870</v>
      </c>
      <c r="P37">
        <f t="shared" si="5"/>
        <v>1641150</v>
      </c>
    </row>
    <row r="38" spans="1:16">
      <c r="A38" t="s">
        <v>511</v>
      </c>
      <c r="B38" t="s">
        <v>531</v>
      </c>
      <c r="C38" t="s">
        <v>15</v>
      </c>
      <c r="D38" t="s">
        <v>16</v>
      </c>
      <c r="E38" t="s">
        <v>17</v>
      </c>
      <c r="G38" s="2" t="str">
        <f>IF(F38="","",F38*Parameters!$B$1)</f>
        <v/>
      </c>
      <c r="H38" s="2">
        <v>4768000</v>
      </c>
      <c r="I38">
        <f>IF(H38="","",H38*Parameters!$B$1)</f>
        <v>1001280</v>
      </c>
      <c r="J38" t="str">
        <f t="shared" si="3"/>
        <v/>
      </c>
      <c r="K38" s="2">
        <v>2114000</v>
      </c>
      <c r="L38">
        <f>IF(K38="","",K38*Parameters!$B$1)</f>
        <v>443940</v>
      </c>
      <c r="M38">
        <f t="shared" si="4"/>
        <v>1445220</v>
      </c>
      <c r="N38" s="2">
        <v>3047000</v>
      </c>
      <c r="O38">
        <f>IF(N38="","",N38*Parameters!$B$1)</f>
        <v>639870</v>
      </c>
      <c r="P38">
        <f t="shared" si="5"/>
        <v>1641150</v>
      </c>
    </row>
    <row r="39" spans="1:16">
      <c r="A39" t="s">
        <v>511</v>
      </c>
      <c r="B39" t="s">
        <v>532</v>
      </c>
      <c r="C39" t="s">
        <v>15</v>
      </c>
      <c r="D39" t="s">
        <v>16</v>
      </c>
      <c r="E39" t="s">
        <v>17</v>
      </c>
      <c r="G39" s="2" t="str">
        <f>IF(F39="","",F39*Parameters!$B$1)</f>
        <v/>
      </c>
      <c r="H39" s="2">
        <v>5111000</v>
      </c>
      <c r="I39">
        <f>IF(H39="","",H39*Parameters!$B$1)</f>
        <v>1073310</v>
      </c>
      <c r="J39" t="str">
        <f t="shared" si="3"/>
        <v/>
      </c>
      <c r="K39" s="2">
        <v>2114000</v>
      </c>
      <c r="L39">
        <f>IF(K39="","",K39*Parameters!$B$1)</f>
        <v>443940</v>
      </c>
      <c r="M39">
        <f t="shared" si="4"/>
        <v>1517250</v>
      </c>
      <c r="N39" s="2">
        <v>3047000</v>
      </c>
      <c r="O39">
        <f>IF(N39="","",N39*Parameters!$B$1)</f>
        <v>639870</v>
      </c>
      <c r="P39">
        <f t="shared" si="5"/>
        <v>1713180</v>
      </c>
    </row>
    <row r="40" spans="1:16">
      <c r="A40" t="s">
        <v>511</v>
      </c>
      <c r="B40" t="s">
        <v>533</v>
      </c>
      <c r="C40" t="s">
        <v>15</v>
      </c>
      <c r="D40" t="s">
        <v>16</v>
      </c>
      <c r="E40" t="s">
        <v>17</v>
      </c>
      <c r="G40" s="2" t="str">
        <f>IF(F40="","",F40*Parameters!$B$1)</f>
        <v/>
      </c>
      <c r="H40" s="2">
        <v>5720000</v>
      </c>
      <c r="I40">
        <f>IF(H40="","",H40*Parameters!$B$1)</f>
        <v>1201200</v>
      </c>
      <c r="J40" t="str">
        <f t="shared" si="3"/>
        <v/>
      </c>
      <c r="K40" s="2">
        <v>2114000</v>
      </c>
      <c r="L40">
        <f>IF(K40="","",K40*Parameters!$B$1)</f>
        <v>443940</v>
      </c>
      <c r="M40">
        <f t="shared" si="4"/>
        <v>1645140</v>
      </c>
      <c r="N40" s="2">
        <v>3047000</v>
      </c>
      <c r="O40">
        <f>IF(N40="","",N40*Parameters!$B$1)</f>
        <v>639870</v>
      </c>
      <c r="P40">
        <f t="shared" si="5"/>
        <v>1841070</v>
      </c>
    </row>
    <row r="41" spans="1:16">
      <c r="A41" t="s">
        <v>511</v>
      </c>
      <c r="B41" t="s">
        <v>534</v>
      </c>
      <c r="C41" t="s">
        <v>15</v>
      </c>
      <c r="D41" t="s">
        <v>16</v>
      </c>
      <c r="E41" t="s">
        <v>17</v>
      </c>
      <c r="G41" s="2" t="str">
        <f>IF(F41="","",F41*Parameters!$B$1)</f>
        <v/>
      </c>
      <c r="H41" s="2">
        <v>5720000</v>
      </c>
      <c r="I41">
        <f>IF(H41="","",H41*Parameters!$B$1)</f>
        <v>1201200</v>
      </c>
      <c r="J41" t="str">
        <f t="shared" si="3"/>
        <v/>
      </c>
      <c r="K41" s="2">
        <v>2114000</v>
      </c>
      <c r="L41">
        <f>IF(K41="","",K41*Parameters!$B$1)</f>
        <v>443940</v>
      </c>
      <c r="M41">
        <f t="shared" si="4"/>
        <v>1645140</v>
      </c>
      <c r="N41" s="2">
        <v>3047000</v>
      </c>
      <c r="O41">
        <f>IF(N41="","",N41*Parameters!$B$1)</f>
        <v>639870</v>
      </c>
      <c r="P41">
        <f t="shared" si="5"/>
        <v>1841070</v>
      </c>
    </row>
    <row r="42" spans="1:16">
      <c r="A42" t="s">
        <v>511</v>
      </c>
      <c r="B42" t="s">
        <v>535</v>
      </c>
      <c r="C42" t="s">
        <v>15</v>
      </c>
      <c r="D42" t="s">
        <v>16</v>
      </c>
      <c r="E42" t="s">
        <v>17</v>
      </c>
      <c r="G42" s="2" t="str">
        <f>IF(F42="","",F42*Parameters!$B$1)</f>
        <v/>
      </c>
      <c r="H42" s="2">
        <v>5720000</v>
      </c>
      <c r="I42">
        <f>IF(H42="","",H42*Parameters!$B$1)</f>
        <v>1201200</v>
      </c>
      <c r="J42" t="str">
        <f t="shared" si="3"/>
        <v/>
      </c>
      <c r="K42" s="2">
        <v>2114000</v>
      </c>
      <c r="L42">
        <f>IF(K42="","",K42*Parameters!$B$1)</f>
        <v>443940</v>
      </c>
      <c r="M42">
        <f t="shared" si="4"/>
        <v>1645140</v>
      </c>
      <c r="N42" s="2">
        <v>3047000</v>
      </c>
      <c r="O42">
        <f>IF(N42="","",N42*Parameters!$B$1)</f>
        <v>639870</v>
      </c>
      <c r="P42">
        <f t="shared" si="5"/>
        <v>1841070</v>
      </c>
    </row>
    <row r="43" spans="1:16">
      <c r="A43" t="s">
        <v>511</v>
      </c>
      <c r="B43" t="s">
        <v>536</v>
      </c>
      <c r="C43" t="s">
        <v>15</v>
      </c>
      <c r="D43" t="s">
        <v>16</v>
      </c>
      <c r="E43" t="s">
        <v>17</v>
      </c>
      <c r="G43" s="2" t="str">
        <f>IF(F43="","",F43*Parameters!$B$1)</f>
        <v/>
      </c>
      <c r="H43" s="2">
        <v>5720000</v>
      </c>
      <c r="I43">
        <f>IF(H43="","",H43*Parameters!$B$1)</f>
        <v>1201200</v>
      </c>
      <c r="J43" t="str">
        <f t="shared" si="3"/>
        <v/>
      </c>
      <c r="K43" s="2">
        <v>2114000</v>
      </c>
      <c r="L43">
        <f>IF(K43="","",K43*Parameters!$B$1)</f>
        <v>443940</v>
      </c>
      <c r="M43">
        <f t="shared" si="4"/>
        <v>1645140</v>
      </c>
      <c r="N43" s="2">
        <v>3047000</v>
      </c>
      <c r="O43">
        <f>IF(N43="","",N43*Parameters!$B$1)</f>
        <v>639870</v>
      </c>
      <c r="P43">
        <f t="shared" si="5"/>
        <v>1841070</v>
      </c>
    </row>
    <row r="44" spans="1:16">
      <c r="A44" t="s">
        <v>511</v>
      </c>
      <c r="B44" t="s">
        <v>245</v>
      </c>
      <c r="C44" t="s">
        <v>15</v>
      </c>
      <c r="D44" t="s">
        <v>16</v>
      </c>
      <c r="E44" t="s">
        <v>17</v>
      </c>
      <c r="G44" s="2" t="str">
        <f>IF(F44="","",F44*Parameters!$B$1)</f>
        <v/>
      </c>
      <c r="H44" s="2">
        <v>6131000</v>
      </c>
      <c r="I44">
        <f>IF(H44="","",H44*Parameters!$B$1)</f>
        <v>1287510</v>
      </c>
      <c r="J44" t="str">
        <f t="shared" si="3"/>
        <v/>
      </c>
      <c r="K44" s="2">
        <v>2114000</v>
      </c>
      <c r="L44">
        <f>IF(K44="","",K44*Parameters!$B$1)</f>
        <v>443940</v>
      </c>
      <c r="M44">
        <f t="shared" si="4"/>
        <v>1731450</v>
      </c>
      <c r="N44" s="2">
        <v>3047000</v>
      </c>
      <c r="O44">
        <f>IF(N44="","",N44*Parameters!$B$1)</f>
        <v>639870</v>
      </c>
      <c r="P44">
        <f t="shared" si="5"/>
        <v>1927380</v>
      </c>
    </row>
    <row r="45" spans="1:16">
      <c r="A45" t="s">
        <v>511</v>
      </c>
      <c r="B45" t="s">
        <v>537</v>
      </c>
      <c r="C45" t="s">
        <v>15</v>
      </c>
      <c r="D45" t="s">
        <v>16</v>
      </c>
      <c r="E45" t="s">
        <v>17</v>
      </c>
      <c r="G45" s="2" t="str">
        <f>IF(F45="","",F45*Parameters!$B$1)</f>
        <v/>
      </c>
      <c r="H45" s="2">
        <v>6675000</v>
      </c>
      <c r="I45">
        <f>IF(H45="","",H45*Parameters!$B$1)</f>
        <v>1401750</v>
      </c>
      <c r="J45" t="str">
        <f t="shared" si="3"/>
        <v/>
      </c>
      <c r="K45" s="2">
        <v>2114000</v>
      </c>
      <c r="L45">
        <f>IF(K45="","",K45*Parameters!$B$1)</f>
        <v>443940</v>
      </c>
      <c r="M45">
        <f t="shared" si="4"/>
        <v>1845690</v>
      </c>
      <c r="N45" s="2">
        <v>3047000</v>
      </c>
      <c r="O45">
        <f>IF(N45="","",N45*Parameters!$B$1)</f>
        <v>639870</v>
      </c>
      <c r="P45">
        <f t="shared" si="5"/>
        <v>2041620</v>
      </c>
    </row>
    <row r="46" spans="1:16">
      <c r="A46" t="s">
        <v>511</v>
      </c>
      <c r="B46" t="s">
        <v>285</v>
      </c>
      <c r="C46" t="s">
        <v>15</v>
      </c>
      <c r="D46" t="s">
        <v>16</v>
      </c>
      <c r="E46" t="s">
        <v>17</v>
      </c>
      <c r="G46" s="2" t="str">
        <f>IF(F46="","",F46*Parameters!$B$1)</f>
        <v/>
      </c>
      <c r="H46" s="2">
        <v>6675000</v>
      </c>
      <c r="I46">
        <f>IF(H46="","",H46*Parameters!$B$1)</f>
        <v>1401750</v>
      </c>
      <c r="J46" t="str">
        <f t="shared" si="3"/>
        <v/>
      </c>
      <c r="K46" s="2">
        <v>2114000</v>
      </c>
      <c r="L46">
        <f>IF(K46="","",K46*Parameters!$B$1)</f>
        <v>443940</v>
      </c>
      <c r="M46">
        <f t="shared" si="4"/>
        <v>1845690</v>
      </c>
      <c r="N46" s="2">
        <v>3047000</v>
      </c>
      <c r="O46">
        <f>IF(N46="","",N46*Parameters!$B$1)</f>
        <v>639870</v>
      </c>
      <c r="P46">
        <f t="shared" si="5"/>
        <v>2041620</v>
      </c>
    </row>
    <row r="47" spans="1:16">
      <c r="A47" t="s">
        <v>511</v>
      </c>
      <c r="B47" t="s">
        <v>538</v>
      </c>
      <c r="C47" t="s">
        <v>15</v>
      </c>
      <c r="D47" t="s">
        <v>16</v>
      </c>
      <c r="E47" t="s">
        <v>17</v>
      </c>
      <c r="G47" s="2" t="str">
        <f>IF(F47="","",F47*Parameters!$B$1)</f>
        <v/>
      </c>
      <c r="H47" s="2">
        <v>6675000</v>
      </c>
      <c r="I47">
        <f>IF(H47="","",H47*Parameters!$B$1)</f>
        <v>1401750</v>
      </c>
      <c r="J47" t="str">
        <f t="shared" si="3"/>
        <v/>
      </c>
      <c r="K47" s="2">
        <v>2114000</v>
      </c>
      <c r="L47">
        <f>IF(K47="","",K47*Parameters!$B$1)</f>
        <v>443940</v>
      </c>
      <c r="M47">
        <f t="shared" si="4"/>
        <v>1845690</v>
      </c>
      <c r="N47" s="2">
        <v>3047000</v>
      </c>
      <c r="O47">
        <f>IF(N47="","",N47*Parameters!$B$1)</f>
        <v>639870</v>
      </c>
      <c r="P47">
        <f t="shared" si="5"/>
        <v>2041620</v>
      </c>
    </row>
    <row r="48" spans="1:16">
      <c r="A48" t="s">
        <v>511</v>
      </c>
      <c r="B48" t="s">
        <v>539</v>
      </c>
      <c r="C48" t="s">
        <v>15</v>
      </c>
      <c r="D48" t="s">
        <v>16</v>
      </c>
      <c r="E48" t="s">
        <v>17</v>
      </c>
      <c r="G48" s="2" t="str">
        <f>IF(F48="","",F48*Parameters!$B$1)</f>
        <v/>
      </c>
      <c r="H48" s="2">
        <v>5720000</v>
      </c>
      <c r="I48">
        <f>IF(H48="","",H48*Parameters!$B$1)</f>
        <v>1201200</v>
      </c>
      <c r="J48" t="str">
        <f t="shared" si="3"/>
        <v/>
      </c>
      <c r="K48" s="2">
        <v>2114000</v>
      </c>
      <c r="L48">
        <f>IF(K48="","",K48*Parameters!$B$1)</f>
        <v>443940</v>
      </c>
      <c r="M48">
        <f>IF(OR(I48="",L48=""),"",I48+L48)</f>
        <v>1645140</v>
      </c>
      <c r="N48" s="2">
        <v>3047000</v>
      </c>
      <c r="O48">
        <f>IF(N48="","",N48*Parameters!$B$1)</f>
        <v>639870</v>
      </c>
      <c r="P48">
        <f>IF(OR(I48="",O48=""),"",I48+O48)</f>
        <v>1841070</v>
      </c>
    </row>
    <row r="49" spans="1:16">
      <c r="A49" t="s">
        <v>511</v>
      </c>
      <c r="B49" t="s">
        <v>540</v>
      </c>
      <c r="C49" t="s">
        <v>15</v>
      </c>
      <c r="D49" t="s">
        <v>16</v>
      </c>
      <c r="E49" t="s">
        <v>17</v>
      </c>
      <c r="G49" s="2" t="str">
        <f>IF(F49="","",F49*Parameters!$B$1)</f>
        <v/>
      </c>
      <c r="H49" s="2">
        <v>6675000</v>
      </c>
      <c r="I49">
        <f>IF(H49="","",H49*Parameters!$B$1)</f>
        <v>1401750</v>
      </c>
      <c r="J49" t="str">
        <f t="shared" si="3"/>
        <v/>
      </c>
      <c r="K49" s="2">
        <v>2114000</v>
      </c>
      <c r="L49">
        <f>IF(K49="","",K49*Parameters!$B$1)</f>
        <v>443940</v>
      </c>
      <c r="M49">
        <f>IF(OR(I49="",L49=""),"",I49+L49)</f>
        <v>1845690</v>
      </c>
      <c r="N49" s="2">
        <v>3047000</v>
      </c>
      <c r="O49">
        <f>IF(N49="","",N49*Parameters!$B$1)</f>
        <v>639870</v>
      </c>
      <c r="P49">
        <f>IF(OR(I49="",O49=""),"",I49+O49)</f>
        <v>2041620</v>
      </c>
    </row>
    <row r="50" spans="1:16">
      <c r="A50" t="s">
        <v>511</v>
      </c>
      <c r="B50" t="s">
        <v>541</v>
      </c>
      <c r="C50" t="s">
        <v>15</v>
      </c>
      <c r="D50" t="s">
        <v>16</v>
      </c>
      <c r="E50" t="s">
        <v>17</v>
      </c>
      <c r="G50" s="2" t="str">
        <f>IF(F50="","",F50*Parameters!$B$1)</f>
        <v/>
      </c>
      <c r="H50" s="2">
        <v>6675000</v>
      </c>
      <c r="I50">
        <f>IF(H50="","",H50*Parameters!$B$1)</f>
        <v>1401750</v>
      </c>
      <c r="J50" t="str">
        <f t="shared" si="3"/>
        <v/>
      </c>
      <c r="K50" s="2">
        <v>2114000</v>
      </c>
      <c r="L50">
        <f>IF(K50="","",K50*Parameters!$B$1)</f>
        <v>443940</v>
      </c>
      <c r="M50">
        <f>IF(OR(I50="",L50=""),"",I50+L50)</f>
        <v>1845690</v>
      </c>
      <c r="N50" s="2">
        <v>3047000</v>
      </c>
      <c r="O50">
        <f>IF(N50="","",N50*Parameters!$B$1)</f>
        <v>639870</v>
      </c>
      <c r="P50">
        <f>IF(OR(I50="",O50=""),"",I50+O50)</f>
        <v>2041620</v>
      </c>
    </row>
    <row r="51" spans="1:16">
      <c r="A51" t="s">
        <v>511</v>
      </c>
      <c r="B51" t="s">
        <v>542</v>
      </c>
      <c r="C51" t="s">
        <v>15</v>
      </c>
      <c r="D51" t="s">
        <v>16</v>
      </c>
      <c r="E51" t="s">
        <v>17</v>
      </c>
      <c r="G51" s="2" t="str">
        <f>IF(F51="","",F51*Parameters!$B$1)</f>
        <v/>
      </c>
      <c r="H51" s="2">
        <v>6675000</v>
      </c>
      <c r="I51">
        <f>IF(H51="","",H51*Parameters!$B$1)</f>
        <v>1401750</v>
      </c>
      <c r="J51" t="str">
        <f t="shared" si="3"/>
        <v/>
      </c>
      <c r="K51" s="2">
        <v>2114000</v>
      </c>
      <c r="L51">
        <f>IF(K51="","",K51*Parameters!$B$1)</f>
        <v>443940</v>
      </c>
      <c r="M51">
        <f>IF(OR(I51="",L51=""),"",I51+L51)</f>
        <v>1845690</v>
      </c>
      <c r="N51" s="2">
        <v>3047000</v>
      </c>
      <c r="O51">
        <f>IF(N51="","",N51*Parameters!$B$1)</f>
        <v>639870</v>
      </c>
      <c r="P51">
        <f>IF(OR(I51="",O51=""),"",I51+O51)</f>
        <v>2041620</v>
      </c>
    </row>
    <row r="52" spans="1:16">
      <c r="A52" t="s">
        <v>511</v>
      </c>
      <c r="B52" t="s">
        <v>543</v>
      </c>
      <c r="C52" t="s">
        <v>15</v>
      </c>
      <c r="D52" t="s">
        <v>16</v>
      </c>
      <c r="E52" t="s">
        <v>17</v>
      </c>
      <c r="G52" s="2" t="str">
        <f>IF(F52="","",F52*Parameters!$B$1)</f>
        <v/>
      </c>
      <c r="H52" s="2">
        <v>6675000</v>
      </c>
      <c r="I52">
        <f>IF(H52="","",H52*Parameters!$B$1)</f>
        <v>1401750</v>
      </c>
      <c r="J52" t="str">
        <f t="shared" si="3"/>
        <v/>
      </c>
      <c r="K52" s="2">
        <v>2114000</v>
      </c>
      <c r="L52">
        <f>IF(K52="","",K52*Parameters!$B$1)</f>
        <v>443940</v>
      </c>
      <c r="M52">
        <f>IF(OR(I52="",L52=""),"",I52+L52)</f>
        <v>1845690</v>
      </c>
      <c r="N52" s="2">
        <v>3047000</v>
      </c>
      <c r="O52">
        <f>IF(N52="","",N52*Parameters!$B$1)</f>
        <v>639870</v>
      </c>
      <c r="P52">
        <f>IF(OR(I52="",O52=""),"",I52+O52)</f>
        <v>2041620</v>
      </c>
    </row>
    <row r="53" spans="1:16">
      <c r="A53" t="s">
        <v>511</v>
      </c>
      <c r="B53" t="s">
        <v>191</v>
      </c>
      <c r="C53" t="s">
        <v>15</v>
      </c>
      <c r="D53" t="s">
        <v>16</v>
      </c>
      <c r="E53" t="s">
        <v>17</v>
      </c>
      <c r="G53" s="2" t="str">
        <f>IF(F53="","",F53*Parameters!$B$1)</f>
        <v/>
      </c>
      <c r="H53" s="2">
        <v>6675000</v>
      </c>
      <c r="I53">
        <f>IF(H53="","",H53*Parameters!$B$1)</f>
        <v>1401750</v>
      </c>
      <c r="J53" t="str">
        <f t="shared" si="3"/>
        <v/>
      </c>
      <c r="K53" s="2">
        <v>2114000</v>
      </c>
      <c r="L53">
        <f>IF(K53="","",K53*Parameters!$B$1)</f>
        <v>443940</v>
      </c>
      <c r="M53">
        <f t="shared" ref="M53:M88" si="6">IF(OR(I53="",L53=""),"",I53+L53)</f>
        <v>1845690</v>
      </c>
      <c r="N53" s="2">
        <v>3047000</v>
      </c>
      <c r="O53">
        <f>IF(N53="","",N53*Parameters!$B$1)</f>
        <v>639870</v>
      </c>
      <c r="P53">
        <f t="shared" ref="P53:P88" si="7">IF(OR(I53="",O53=""),"",I53+O53)</f>
        <v>2041620</v>
      </c>
    </row>
    <row r="54" spans="1:16">
      <c r="A54" t="s">
        <v>511</v>
      </c>
      <c r="B54" t="s">
        <v>287</v>
      </c>
      <c r="C54" t="s">
        <v>15</v>
      </c>
      <c r="D54" t="s">
        <v>16</v>
      </c>
      <c r="E54" t="s">
        <v>17</v>
      </c>
      <c r="G54" s="2" t="str">
        <f>IF(F54="","",F54*Parameters!$B$1)</f>
        <v/>
      </c>
      <c r="H54" s="2">
        <v>7153000</v>
      </c>
      <c r="I54">
        <f>IF(H54="","",H54*Parameters!$B$1)</f>
        <v>1502130</v>
      </c>
      <c r="J54" t="str">
        <f t="shared" si="3"/>
        <v/>
      </c>
      <c r="K54" s="2">
        <v>2114000</v>
      </c>
      <c r="L54">
        <f>IF(K54="","",K54*Parameters!$B$1)</f>
        <v>443940</v>
      </c>
      <c r="M54">
        <f t="shared" si="6"/>
        <v>1946070</v>
      </c>
      <c r="N54" s="2">
        <v>3047000</v>
      </c>
      <c r="O54">
        <f>IF(N54="","",N54*Parameters!$B$1)</f>
        <v>639870</v>
      </c>
      <c r="P54">
        <f t="shared" si="7"/>
        <v>2142000</v>
      </c>
    </row>
    <row r="55" spans="1:16">
      <c r="A55" t="s">
        <v>511</v>
      </c>
      <c r="B55" t="s">
        <v>544</v>
      </c>
      <c r="C55" t="s">
        <v>15</v>
      </c>
      <c r="D55" t="s">
        <v>16</v>
      </c>
      <c r="E55" t="s">
        <v>17</v>
      </c>
      <c r="G55" s="2" t="str">
        <f>IF(F55="","",F55*Parameters!$B$1)</f>
        <v/>
      </c>
      <c r="H55" s="2">
        <v>7320000</v>
      </c>
      <c r="I55">
        <f>IF(H55="","",H55*Parameters!$B$1)</f>
        <v>1537200</v>
      </c>
      <c r="J55" t="str">
        <f t="shared" si="3"/>
        <v/>
      </c>
      <c r="K55" s="2">
        <v>2114000</v>
      </c>
      <c r="L55">
        <f>IF(K55="","",K55*Parameters!$B$1)</f>
        <v>443940</v>
      </c>
      <c r="M55">
        <f t="shared" si="6"/>
        <v>1981140</v>
      </c>
      <c r="N55" s="2">
        <v>3047000</v>
      </c>
      <c r="O55">
        <f>IF(N55="","",N55*Parameters!$B$1)</f>
        <v>639870</v>
      </c>
      <c r="P55">
        <f t="shared" si="7"/>
        <v>2177070</v>
      </c>
    </row>
    <row r="56" spans="1:16">
      <c r="A56" t="s">
        <v>511</v>
      </c>
      <c r="B56" t="s">
        <v>545</v>
      </c>
      <c r="C56" t="s">
        <v>15</v>
      </c>
      <c r="D56" t="s">
        <v>16</v>
      </c>
      <c r="E56" t="s">
        <v>17</v>
      </c>
      <c r="G56" s="2" t="str">
        <f>IF(F56="","",F56*Parameters!$B$1)</f>
        <v/>
      </c>
      <c r="H56" s="2">
        <v>3491000</v>
      </c>
      <c r="I56">
        <f>IF(H56="","",H56*Parameters!$B$1)</f>
        <v>733110</v>
      </c>
      <c r="J56" t="str">
        <f t="shared" si="3"/>
        <v/>
      </c>
      <c r="K56" s="2">
        <v>2114000</v>
      </c>
      <c r="L56">
        <f>IF(K56="","",K56*Parameters!$B$1)</f>
        <v>443940</v>
      </c>
      <c r="M56">
        <f t="shared" si="6"/>
        <v>1177050</v>
      </c>
      <c r="N56" s="2">
        <v>3047000</v>
      </c>
      <c r="O56">
        <f>IF(N56="","",N56*Parameters!$B$1)</f>
        <v>639870</v>
      </c>
      <c r="P56">
        <f t="shared" si="7"/>
        <v>1372980</v>
      </c>
    </row>
    <row r="57" spans="1:16">
      <c r="A57" t="s">
        <v>511</v>
      </c>
      <c r="B57" t="s">
        <v>197</v>
      </c>
      <c r="C57" t="s">
        <v>15</v>
      </c>
      <c r="D57" t="s">
        <v>16</v>
      </c>
      <c r="E57" t="s">
        <v>17</v>
      </c>
      <c r="G57" s="2" t="str">
        <f>IF(F57="","",F57*Parameters!$B$1)</f>
        <v/>
      </c>
      <c r="H57" s="2">
        <v>3491000</v>
      </c>
      <c r="I57">
        <f>IF(H57="","",H57*Parameters!$B$1)</f>
        <v>733110</v>
      </c>
      <c r="J57" t="str">
        <f t="shared" si="3"/>
        <v/>
      </c>
      <c r="K57" s="2">
        <v>2114000</v>
      </c>
      <c r="L57">
        <f>IF(K57="","",K57*Parameters!$B$1)</f>
        <v>443940</v>
      </c>
      <c r="M57">
        <f t="shared" si="6"/>
        <v>1177050</v>
      </c>
      <c r="N57" s="2">
        <v>3047000</v>
      </c>
      <c r="O57">
        <f>IF(N57="","",N57*Parameters!$B$1)</f>
        <v>639870</v>
      </c>
      <c r="P57">
        <f t="shared" si="7"/>
        <v>1372980</v>
      </c>
    </row>
    <row r="58" spans="1:16">
      <c r="A58" t="s">
        <v>511</v>
      </c>
      <c r="B58" t="s">
        <v>546</v>
      </c>
      <c r="C58" t="s">
        <v>547</v>
      </c>
      <c r="D58" t="s">
        <v>16</v>
      </c>
      <c r="E58" t="s">
        <v>17</v>
      </c>
      <c r="G58" s="2" t="str">
        <f>IF(F58="","",F58*Parameters!$B$1)</f>
        <v/>
      </c>
      <c r="H58" s="2">
        <v>4098000</v>
      </c>
      <c r="I58">
        <f>IF(H58="","",H58*Parameters!$B$1)</f>
        <v>860580</v>
      </c>
      <c r="J58" t="str">
        <f t="shared" si="3"/>
        <v/>
      </c>
      <c r="K58" s="2">
        <v>2114000</v>
      </c>
      <c r="L58">
        <f>IF(K58="","",K58*Parameters!$B$1)</f>
        <v>443940</v>
      </c>
      <c r="M58">
        <f t="shared" si="6"/>
        <v>1304520</v>
      </c>
      <c r="N58" s="2">
        <v>3047000</v>
      </c>
      <c r="O58">
        <f>IF(N58="","",N58*Parameters!$B$1)</f>
        <v>639870</v>
      </c>
      <c r="P58">
        <f t="shared" si="7"/>
        <v>1500450</v>
      </c>
    </row>
    <row r="59" spans="1:16">
      <c r="A59" t="s">
        <v>511</v>
      </c>
      <c r="B59" t="s">
        <v>548</v>
      </c>
      <c r="C59" t="s">
        <v>15</v>
      </c>
      <c r="D59" t="s">
        <v>16</v>
      </c>
      <c r="E59" t="s">
        <v>17</v>
      </c>
      <c r="G59" s="2" t="str">
        <f>IF(F59="","",F59*Parameters!$B$1)</f>
        <v/>
      </c>
      <c r="H59" s="2">
        <v>4098000</v>
      </c>
      <c r="I59">
        <f>IF(H59="","",H59*Parameters!$B$1)</f>
        <v>860580</v>
      </c>
      <c r="J59" t="str">
        <f t="shared" si="3"/>
        <v/>
      </c>
      <c r="K59" s="2">
        <v>2114000</v>
      </c>
      <c r="L59">
        <f>IF(K59="","",K59*Parameters!$B$1)</f>
        <v>443940</v>
      </c>
      <c r="M59">
        <f t="shared" si="6"/>
        <v>1304520</v>
      </c>
      <c r="N59" s="2">
        <v>3047000</v>
      </c>
      <c r="O59">
        <f>IF(N59="","",N59*Parameters!$B$1)</f>
        <v>639870</v>
      </c>
      <c r="P59">
        <f t="shared" si="7"/>
        <v>1500450</v>
      </c>
    </row>
    <row r="60" spans="1:16">
      <c r="A60" t="s">
        <v>511</v>
      </c>
      <c r="B60" t="s">
        <v>549</v>
      </c>
      <c r="C60" t="s">
        <v>15</v>
      </c>
      <c r="D60" t="s">
        <v>16</v>
      </c>
      <c r="E60" t="s">
        <v>17</v>
      </c>
      <c r="G60" s="2" t="str">
        <f>IF(F60="","",F60*Parameters!$B$1)</f>
        <v/>
      </c>
      <c r="H60" s="2">
        <v>4098000</v>
      </c>
      <c r="I60">
        <f>IF(H60="","",H60*Parameters!$B$1)</f>
        <v>860580</v>
      </c>
      <c r="J60" t="str">
        <f t="shared" si="3"/>
        <v/>
      </c>
      <c r="K60" s="2">
        <v>2114000</v>
      </c>
      <c r="L60">
        <f>IF(K60="","",K60*Parameters!$B$1)</f>
        <v>443940</v>
      </c>
      <c r="M60">
        <f t="shared" si="6"/>
        <v>1304520</v>
      </c>
      <c r="N60" s="2">
        <v>3047000</v>
      </c>
      <c r="O60">
        <f>IF(N60="","",N60*Parameters!$B$1)</f>
        <v>639870</v>
      </c>
      <c r="P60">
        <f t="shared" si="7"/>
        <v>1500450</v>
      </c>
    </row>
    <row r="61" spans="1:16">
      <c r="A61" t="s">
        <v>511</v>
      </c>
      <c r="B61" t="s">
        <v>550</v>
      </c>
      <c r="C61" t="s">
        <v>547</v>
      </c>
      <c r="D61" t="s">
        <v>551</v>
      </c>
      <c r="E61" t="s">
        <v>17</v>
      </c>
      <c r="G61" s="2" t="str">
        <f>IF(F61="","",F61*Parameters!$B$1)</f>
        <v/>
      </c>
      <c r="H61" s="2">
        <v>4098000</v>
      </c>
      <c r="I61">
        <f>IF(H61="","",H61*Parameters!$B$1)</f>
        <v>860580</v>
      </c>
      <c r="J61" t="str">
        <f t="shared" si="3"/>
        <v/>
      </c>
      <c r="K61" s="2">
        <v>2114000</v>
      </c>
      <c r="L61">
        <f>IF(K61="","",K61*Parameters!$B$1)</f>
        <v>443940</v>
      </c>
      <c r="M61">
        <f t="shared" si="6"/>
        <v>1304520</v>
      </c>
      <c r="N61" s="2">
        <v>3047000</v>
      </c>
      <c r="O61">
        <f>IF(N61="","",N61*Parameters!$B$1)</f>
        <v>639870</v>
      </c>
      <c r="P61">
        <f t="shared" si="7"/>
        <v>1500450</v>
      </c>
    </row>
    <row r="62" spans="1:16">
      <c r="A62" t="s">
        <v>511</v>
      </c>
      <c r="B62" t="s">
        <v>552</v>
      </c>
      <c r="C62" t="s">
        <v>15</v>
      </c>
      <c r="D62" t="s">
        <v>16</v>
      </c>
      <c r="E62" t="s">
        <v>17</v>
      </c>
      <c r="G62" s="2" t="str">
        <f>IF(F62="","",F62*Parameters!$B$1)</f>
        <v/>
      </c>
      <c r="H62" s="2">
        <v>4098000</v>
      </c>
      <c r="I62">
        <f>IF(H62="","",H62*Parameters!$B$1)</f>
        <v>860580</v>
      </c>
      <c r="J62" t="str">
        <f t="shared" si="3"/>
        <v/>
      </c>
      <c r="K62" s="2">
        <v>2114000</v>
      </c>
      <c r="L62">
        <f>IF(K62="","",K62*Parameters!$B$1)</f>
        <v>443940</v>
      </c>
      <c r="M62">
        <f t="shared" si="6"/>
        <v>1304520</v>
      </c>
      <c r="N62" s="2">
        <v>3047000</v>
      </c>
      <c r="O62">
        <f>IF(N62="","",N62*Parameters!$B$1)</f>
        <v>639870</v>
      </c>
      <c r="P62">
        <f t="shared" si="7"/>
        <v>1500450</v>
      </c>
    </row>
    <row r="63" spans="1:16">
      <c r="A63" t="s">
        <v>511</v>
      </c>
      <c r="B63" t="s">
        <v>386</v>
      </c>
      <c r="C63" t="s">
        <v>15</v>
      </c>
      <c r="D63" t="s">
        <v>16</v>
      </c>
      <c r="E63" t="s">
        <v>17</v>
      </c>
      <c r="G63" s="2" t="str">
        <f>IF(F63="","",F63*Parameters!$B$1)</f>
        <v/>
      </c>
      <c r="H63" s="2">
        <v>4098000</v>
      </c>
      <c r="I63">
        <f>IF(H63="","",H63*Parameters!$B$1)</f>
        <v>860580</v>
      </c>
      <c r="J63" t="str">
        <f t="shared" si="3"/>
        <v/>
      </c>
      <c r="K63" s="2">
        <v>2114000</v>
      </c>
      <c r="L63">
        <f>IF(K63="","",K63*Parameters!$B$1)</f>
        <v>443940</v>
      </c>
      <c r="M63">
        <f t="shared" si="6"/>
        <v>1304520</v>
      </c>
      <c r="N63" s="2">
        <v>3047000</v>
      </c>
      <c r="O63">
        <f>IF(N63="","",N63*Parameters!$B$1)</f>
        <v>639870</v>
      </c>
      <c r="P63">
        <f t="shared" si="7"/>
        <v>1500450</v>
      </c>
    </row>
    <row r="64" spans="1:16">
      <c r="A64" t="s">
        <v>511</v>
      </c>
      <c r="B64" t="s">
        <v>387</v>
      </c>
      <c r="C64" t="s">
        <v>15</v>
      </c>
      <c r="D64" t="s">
        <v>16</v>
      </c>
      <c r="E64" t="s">
        <v>17</v>
      </c>
      <c r="G64" s="2" t="str">
        <f>IF(F64="","",F64*Parameters!$B$1)</f>
        <v/>
      </c>
      <c r="H64" s="2">
        <v>4098000</v>
      </c>
      <c r="I64">
        <f>IF(H64="","",H64*Parameters!$B$1)</f>
        <v>860580</v>
      </c>
      <c r="J64" t="str">
        <f t="shared" si="3"/>
        <v/>
      </c>
      <c r="K64" s="2">
        <v>2114000</v>
      </c>
      <c r="L64">
        <f>IF(K64="","",K64*Parameters!$B$1)</f>
        <v>443940</v>
      </c>
      <c r="M64">
        <f t="shared" si="6"/>
        <v>1304520</v>
      </c>
      <c r="N64" s="2">
        <v>3047000</v>
      </c>
      <c r="O64">
        <f>IF(N64="","",N64*Parameters!$B$1)</f>
        <v>639870</v>
      </c>
      <c r="P64">
        <f t="shared" si="7"/>
        <v>1500450</v>
      </c>
    </row>
    <row r="65" spans="1:16">
      <c r="A65" t="s">
        <v>511</v>
      </c>
      <c r="B65" t="s">
        <v>388</v>
      </c>
      <c r="C65" t="s">
        <v>15</v>
      </c>
      <c r="D65" t="s">
        <v>16</v>
      </c>
      <c r="E65" t="s">
        <v>17</v>
      </c>
      <c r="G65" s="2" t="str">
        <f>IF(F65="","",F65*Parameters!$B$1)</f>
        <v/>
      </c>
      <c r="H65" s="2">
        <v>4098000</v>
      </c>
      <c r="I65">
        <f>IF(H65="","",H65*Parameters!$B$1)</f>
        <v>860580</v>
      </c>
      <c r="J65" t="str">
        <f t="shared" si="3"/>
        <v/>
      </c>
      <c r="K65" s="2">
        <v>2114000</v>
      </c>
      <c r="L65">
        <f>IF(K65="","",K65*Parameters!$B$1)</f>
        <v>443940</v>
      </c>
      <c r="M65">
        <f t="shared" si="6"/>
        <v>1304520</v>
      </c>
      <c r="N65" s="2">
        <v>3047000</v>
      </c>
      <c r="O65">
        <f>IF(N65="","",N65*Parameters!$B$1)</f>
        <v>639870</v>
      </c>
      <c r="P65">
        <f t="shared" si="7"/>
        <v>1500450</v>
      </c>
    </row>
    <row r="66" spans="1:16">
      <c r="A66" t="s">
        <v>511</v>
      </c>
      <c r="B66" t="s">
        <v>31</v>
      </c>
      <c r="C66" t="s">
        <v>15</v>
      </c>
      <c r="D66" t="s">
        <v>16</v>
      </c>
      <c r="E66" t="s">
        <v>17</v>
      </c>
      <c r="G66" s="2" t="str">
        <f>IF(F66="","",F66*Parameters!$B$1)</f>
        <v/>
      </c>
      <c r="H66" s="2">
        <v>4098000</v>
      </c>
      <c r="I66">
        <f>IF(H66="","",H66*Parameters!$B$1)</f>
        <v>860580</v>
      </c>
      <c r="J66" t="str">
        <f t="shared" ref="J66:J97" si="8">IF(OR(G66="",I66=""),"",G66+I66)</f>
        <v/>
      </c>
      <c r="K66" s="2">
        <v>2114000</v>
      </c>
      <c r="L66">
        <f>IF(K66="","",K66*Parameters!$B$1)</f>
        <v>443940</v>
      </c>
      <c r="M66">
        <f t="shared" si="6"/>
        <v>1304520</v>
      </c>
      <c r="N66" s="2">
        <v>3047000</v>
      </c>
      <c r="O66">
        <f>IF(N66="","",N66*Parameters!$B$1)</f>
        <v>639870</v>
      </c>
      <c r="P66">
        <f t="shared" si="7"/>
        <v>1500450</v>
      </c>
    </row>
    <row r="67" spans="1:16">
      <c r="A67" t="s">
        <v>511</v>
      </c>
      <c r="B67" t="s">
        <v>389</v>
      </c>
      <c r="C67" t="s">
        <v>15</v>
      </c>
      <c r="D67" t="s">
        <v>16</v>
      </c>
      <c r="E67" t="s">
        <v>17</v>
      </c>
      <c r="G67" s="2" t="str">
        <f>IF(F67="","",F67*Parameters!$B$1)</f>
        <v/>
      </c>
      <c r="H67" s="2">
        <v>4098000</v>
      </c>
      <c r="I67">
        <f>IF(H67="","",H67*Parameters!$B$1)</f>
        <v>860580</v>
      </c>
      <c r="J67" t="str">
        <f t="shared" si="8"/>
        <v/>
      </c>
      <c r="K67" s="2">
        <v>2114000</v>
      </c>
      <c r="L67">
        <f>IF(K67="","",K67*Parameters!$B$1)</f>
        <v>443940</v>
      </c>
      <c r="M67">
        <f t="shared" si="6"/>
        <v>1304520</v>
      </c>
      <c r="N67" s="2">
        <v>3047000</v>
      </c>
      <c r="O67">
        <f>IF(N67="","",N67*Parameters!$B$1)</f>
        <v>639870</v>
      </c>
      <c r="P67">
        <f t="shared" si="7"/>
        <v>1500450</v>
      </c>
    </row>
    <row r="68" spans="1:16">
      <c r="A68" t="s">
        <v>511</v>
      </c>
      <c r="B68" t="s">
        <v>390</v>
      </c>
      <c r="C68" t="s">
        <v>15</v>
      </c>
      <c r="D68" t="s">
        <v>16</v>
      </c>
      <c r="E68" t="s">
        <v>17</v>
      </c>
      <c r="G68" s="2" t="str">
        <f>IF(F68="","",F68*Parameters!$B$1)</f>
        <v/>
      </c>
      <c r="H68" s="2">
        <v>4098000</v>
      </c>
      <c r="I68">
        <f>IF(H68="","",H68*Parameters!$B$1)</f>
        <v>860580</v>
      </c>
      <c r="J68" t="str">
        <f t="shared" si="8"/>
        <v/>
      </c>
      <c r="K68" s="2">
        <v>2114000</v>
      </c>
      <c r="L68">
        <f>IF(K68="","",K68*Parameters!$B$1)</f>
        <v>443940</v>
      </c>
      <c r="M68">
        <f t="shared" si="6"/>
        <v>1304520</v>
      </c>
      <c r="N68" s="2">
        <v>3047000</v>
      </c>
      <c r="O68">
        <f>IF(N68="","",N68*Parameters!$B$1)</f>
        <v>639870</v>
      </c>
      <c r="P68">
        <f t="shared" si="7"/>
        <v>1500450</v>
      </c>
    </row>
    <row r="69" spans="1:16">
      <c r="A69" t="s">
        <v>511</v>
      </c>
      <c r="B69" t="s">
        <v>391</v>
      </c>
      <c r="C69" t="s">
        <v>15</v>
      </c>
      <c r="D69" t="s">
        <v>16</v>
      </c>
      <c r="E69" t="s">
        <v>17</v>
      </c>
      <c r="G69" s="2" t="str">
        <f>IF(F69="","",F69*Parameters!$B$1)</f>
        <v/>
      </c>
      <c r="H69" s="2">
        <v>4560000</v>
      </c>
      <c r="I69">
        <f>IF(H69="","",H69*Parameters!$B$1)</f>
        <v>957600</v>
      </c>
      <c r="J69" t="str">
        <f t="shared" si="8"/>
        <v/>
      </c>
      <c r="K69" s="2">
        <v>2114000</v>
      </c>
      <c r="L69">
        <f>IF(K69="","",K69*Parameters!$B$1)</f>
        <v>443940</v>
      </c>
      <c r="M69">
        <f t="shared" si="6"/>
        <v>1401540</v>
      </c>
      <c r="N69" s="2">
        <v>3047000</v>
      </c>
      <c r="O69">
        <f>IF(N69="","",N69*Parameters!$B$1)</f>
        <v>639870</v>
      </c>
      <c r="P69">
        <f t="shared" si="7"/>
        <v>1597470</v>
      </c>
    </row>
    <row r="70" spans="1:16">
      <c r="A70" t="s">
        <v>511</v>
      </c>
      <c r="B70" t="s">
        <v>285</v>
      </c>
      <c r="C70" t="s">
        <v>15</v>
      </c>
      <c r="D70" t="s">
        <v>16</v>
      </c>
      <c r="E70" t="s">
        <v>17</v>
      </c>
      <c r="G70" s="2" t="str">
        <f>IF(F70="","",F70*Parameters!$B$1)</f>
        <v/>
      </c>
      <c r="H70" s="2">
        <v>4560000</v>
      </c>
      <c r="I70">
        <f>IF(H70="","",H70*Parameters!$B$1)</f>
        <v>957600</v>
      </c>
      <c r="J70" t="str">
        <f t="shared" si="8"/>
        <v/>
      </c>
      <c r="K70" s="2">
        <v>2114000</v>
      </c>
      <c r="L70">
        <f>IF(K70="","",K70*Parameters!$B$1)</f>
        <v>443940</v>
      </c>
      <c r="M70">
        <f t="shared" si="6"/>
        <v>1401540</v>
      </c>
      <c r="N70" s="2">
        <v>3047000</v>
      </c>
      <c r="O70">
        <f>IF(N70="","",N70*Parameters!$B$1)</f>
        <v>639870</v>
      </c>
      <c r="P70">
        <f t="shared" si="7"/>
        <v>1597470</v>
      </c>
    </row>
    <row r="71" spans="1:16">
      <c r="A71" t="s">
        <v>511</v>
      </c>
      <c r="B71" t="s">
        <v>392</v>
      </c>
      <c r="C71" t="s">
        <v>15</v>
      </c>
      <c r="D71" t="s">
        <v>16</v>
      </c>
      <c r="E71" t="s">
        <v>17</v>
      </c>
      <c r="G71" s="2" t="str">
        <f>IF(F71="","",F71*Parameters!$B$1)</f>
        <v/>
      </c>
      <c r="H71" s="2">
        <v>4560000</v>
      </c>
      <c r="I71">
        <f>IF(H71="","",H71*Parameters!$B$1)</f>
        <v>957600</v>
      </c>
      <c r="J71" t="str">
        <f t="shared" si="8"/>
        <v/>
      </c>
      <c r="K71" s="2">
        <v>2114000</v>
      </c>
      <c r="L71">
        <f>IF(K71="","",K71*Parameters!$B$1)</f>
        <v>443940</v>
      </c>
      <c r="M71">
        <f t="shared" si="6"/>
        <v>1401540</v>
      </c>
      <c r="N71" s="2">
        <v>3047000</v>
      </c>
      <c r="O71">
        <f>IF(N71="","",N71*Parameters!$B$1)</f>
        <v>639870</v>
      </c>
      <c r="P71">
        <f t="shared" si="7"/>
        <v>1597470</v>
      </c>
    </row>
    <row r="72" spans="1:16">
      <c r="A72" t="s">
        <v>511</v>
      </c>
      <c r="B72" t="s">
        <v>393</v>
      </c>
      <c r="C72" t="s">
        <v>15</v>
      </c>
      <c r="D72" t="s">
        <v>16</v>
      </c>
      <c r="E72" t="s">
        <v>17</v>
      </c>
      <c r="G72" s="2" t="str">
        <f>IF(F72="","",F72*Parameters!$B$1)</f>
        <v/>
      </c>
      <c r="H72" s="2">
        <v>4560000</v>
      </c>
      <c r="I72">
        <f>IF(H72="","",H72*Parameters!$B$1)</f>
        <v>957600</v>
      </c>
      <c r="J72" t="str">
        <f t="shared" si="8"/>
        <v/>
      </c>
      <c r="K72" s="2">
        <v>2114000</v>
      </c>
      <c r="L72">
        <f>IF(K72="","",K72*Parameters!$B$1)</f>
        <v>443940</v>
      </c>
      <c r="M72">
        <f t="shared" si="6"/>
        <v>1401540</v>
      </c>
      <c r="N72" s="2">
        <v>3047000</v>
      </c>
      <c r="O72">
        <f>IF(N72="","",N72*Parameters!$B$1)</f>
        <v>639870</v>
      </c>
      <c r="P72">
        <f t="shared" si="7"/>
        <v>1597470</v>
      </c>
    </row>
    <row r="73" spans="1:16">
      <c r="A73" t="s">
        <v>511</v>
      </c>
      <c r="B73" t="s">
        <v>394</v>
      </c>
      <c r="C73" t="s">
        <v>15</v>
      </c>
      <c r="D73" t="s">
        <v>16</v>
      </c>
      <c r="E73" t="s">
        <v>17</v>
      </c>
      <c r="G73" s="2" t="str">
        <f>IF(F73="","",F73*Parameters!$B$1)</f>
        <v/>
      </c>
      <c r="H73" s="2">
        <v>4560000</v>
      </c>
      <c r="I73">
        <f>IF(H73="","",H73*Parameters!$B$1)</f>
        <v>957600</v>
      </c>
      <c r="J73" t="str">
        <f t="shared" si="8"/>
        <v/>
      </c>
      <c r="K73" s="2">
        <v>2114000</v>
      </c>
      <c r="L73">
        <f>IF(K73="","",K73*Parameters!$B$1)</f>
        <v>443940</v>
      </c>
      <c r="M73">
        <f t="shared" si="6"/>
        <v>1401540</v>
      </c>
      <c r="N73" s="2">
        <v>3047000</v>
      </c>
      <c r="O73">
        <f>IF(N73="","",N73*Parameters!$B$1)</f>
        <v>639870</v>
      </c>
      <c r="P73">
        <f t="shared" si="7"/>
        <v>1597470</v>
      </c>
    </row>
    <row r="74" spans="1:16">
      <c r="A74" t="s">
        <v>511</v>
      </c>
      <c r="B74" t="s">
        <v>395</v>
      </c>
      <c r="C74" t="s">
        <v>15</v>
      </c>
      <c r="D74" t="s">
        <v>16</v>
      </c>
      <c r="E74" t="s">
        <v>17</v>
      </c>
      <c r="G74" s="2" t="str">
        <f>IF(F74="","",F74*Parameters!$B$1)</f>
        <v/>
      </c>
      <c r="H74" s="2">
        <v>4560000</v>
      </c>
      <c r="I74">
        <f>IF(H74="","",H74*Parameters!$B$1)</f>
        <v>957600</v>
      </c>
      <c r="J74" t="str">
        <f t="shared" si="8"/>
        <v/>
      </c>
      <c r="K74" s="2">
        <v>2114000</v>
      </c>
      <c r="L74">
        <f>IF(K74="","",K74*Parameters!$B$1)</f>
        <v>443940</v>
      </c>
      <c r="M74">
        <f t="shared" si="6"/>
        <v>1401540</v>
      </c>
      <c r="N74" s="2">
        <v>3047000</v>
      </c>
      <c r="O74">
        <f>IF(N74="","",N74*Parameters!$B$1)</f>
        <v>639870</v>
      </c>
      <c r="P74">
        <f t="shared" si="7"/>
        <v>1597470</v>
      </c>
    </row>
    <row r="75" spans="1:16">
      <c r="A75" t="s">
        <v>511</v>
      </c>
      <c r="B75" t="s">
        <v>34</v>
      </c>
      <c r="C75" t="s">
        <v>15</v>
      </c>
      <c r="D75" t="s">
        <v>16</v>
      </c>
      <c r="E75" t="s">
        <v>17</v>
      </c>
      <c r="G75" s="2" t="str">
        <f>IF(F75="","",F75*Parameters!$B$1)</f>
        <v/>
      </c>
      <c r="H75" s="2">
        <v>4560000</v>
      </c>
      <c r="I75">
        <f>IF(H75="","",H75*Parameters!$B$1)</f>
        <v>957600</v>
      </c>
      <c r="J75" t="str">
        <f t="shared" si="8"/>
        <v/>
      </c>
      <c r="K75" s="2">
        <v>2114000</v>
      </c>
      <c r="L75">
        <f>IF(K75="","",K75*Parameters!$B$1)</f>
        <v>443940</v>
      </c>
      <c r="M75">
        <f t="shared" si="6"/>
        <v>1401540</v>
      </c>
      <c r="N75" s="2">
        <v>3047000</v>
      </c>
      <c r="O75">
        <f>IF(N75="","",N75*Parameters!$B$1)</f>
        <v>639870</v>
      </c>
      <c r="P75">
        <f t="shared" si="7"/>
        <v>1597470</v>
      </c>
    </row>
    <row r="76" spans="1:16">
      <c r="A76" t="s">
        <v>511</v>
      </c>
      <c r="B76" t="s">
        <v>396</v>
      </c>
      <c r="C76" t="s">
        <v>15</v>
      </c>
      <c r="D76" t="s">
        <v>16</v>
      </c>
      <c r="E76" t="s">
        <v>17</v>
      </c>
      <c r="G76" s="2" t="str">
        <f>IF(F76="","",F76*Parameters!$B$1)</f>
        <v/>
      </c>
      <c r="H76" s="2">
        <v>4560000</v>
      </c>
      <c r="I76">
        <f>IF(H76="","",H76*Parameters!$B$1)</f>
        <v>957600</v>
      </c>
      <c r="J76" t="str">
        <f t="shared" si="8"/>
        <v/>
      </c>
      <c r="K76" s="2">
        <v>2114000</v>
      </c>
      <c r="L76">
        <f>IF(K76="","",K76*Parameters!$B$1)</f>
        <v>443940</v>
      </c>
      <c r="M76">
        <f t="shared" si="6"/>
        <v>1401540</v>
      </c>
      <c r="N76" s="2">
        <v>3047000</v>
      </c>
      <c r="O76">
        <f>IF(N76="","",N76*Parameters!$B$1)</f>
        <v>639870</v>
      </c>
      <c r="P76">
        <f t="shared" si="7"/>
        <v>1597470</v>
      </c>
    </row>
    <row r="77" spans="1:16">
      <c r="A77" t="s">
        <v>511</v>
      </c>
      <c r="B77" t="s">
        <v>250</v>
      </c>
      <c r="C77" t="s">
        <v>15</v>
      </c>
      <c r="D77" t="s">
        <v>16</v>
      </c>
      <c r="E77" t="s">
        <v>17</v>
      </c>
      <c r="G77" s="2" t="str">
        <f>IF(F77="","",F77*Parameters!$B$1)</f>
        <v/>
      </c>
      <c r="H77" s="2">
        <v>4560000</v>
      </c>
      <c r="I77">
        <f>IF(H77="","",H77*Parameters!$B$1)</f>
        <v>957600</v>
      </c>
      <c r="J77" t="str">
        <f t="shared" si="8"/>
        <v/>
      </c>
      <c r="K77" s="2">
        <v>2114000</v>
      </c>
      <c r="L77">
        <f>IF(K77="","",K77*Parameters!$B$1)</f>
        <v>443940</v>
      </c>
      <c r="M77">
        <f t="shared" si="6"/>
        <v>1401540</v>
      </c>
      <c r="N77" s="2">
        <v>3047000</v>
      </c>
      <c r="O77">
        <f>IF(N77="","",N77*Parameters!$B$1)</f>
        <v>639870</v>
      </c>
      <c r="P77">
        <f t="shared" si="7"/>
        <v>1597470</v>
      </c>
    </row>
    <row r="78" spans="1:16">
      <c r="A78" t="s">
        <v>511</v>
      </c>
      <c r="B78" t="s">
        <v>553</v>
      </c>
      <c r="C78" t="s">
        <v>15</v>
      </c>
      <c r="D78" t="s">
        <v>16</v>
      </c>
      <c r="E78" t="s">
        <v>17</v>
      </c>
      <c r="G78" s="2" t="str">
        <f>IF(F78="","",F78*Parameters!$B$1)</f>
        <v/>
      </c>
      <c r="H78" s="2">
        <v>4560000</v>
      </c>
      <c r="I78">
        <f>IF(H78="","",H78*Parameters!$B$1)</f>
        <v>957600</v>
      </c>
      <c r="J78" t="str">
        <f t="shared" si="8"/>
        <v/>
      </c>
      <c r="K78" s="2">
        <v>2114000</v>
      </c>
      <c r="L78">
        <f>IF(K78="","",K78*Parameters!$B$1)</f>
        <v>443940</v>
      </c>
      <c r="M78">
        <f t="shared" si="6"/>
        <v>1401540</v>
      </c>
      <c r="N78" s="2">
        <v>3047000</v>
      </c>
      <c r="O78">
        <f>IF(N78="","",N78*Parameters!$B$1)</f>
        <v>639870</v>
      </c>
      <c r="P78">
        <f t="shared" si="7"/>
        <v>1597470</v>
      </c>
    </row>
    <row r="79" spans="1:16" ht="30">
      <c r="A79" t="s">
        <v>511</v>
      </c>
      <c r="B79" s="1" t="s">
        <v>398</v>
      </c>
      <c r="C79" t="s">
        <v>15</v>
      </c>
      <c r="D79" t="s">
        <v>16</v>
      </c>
      <c r="E79" t="s">
        <v>17</v>
      </c>
      <c r="G79" s="2" t="str">
        <f>IF(F79="","",F79*Parameters!$B$1)</f>
        <v/>
      </c>
      <c r="H79" s="2">
        <v>4560000</v>
      </c>
      <c r="I79">
        <f>IF(H79="","",H79*Parameters!$B$1)</f>
        <v>957600</v>
      </c>
      <c r="J79" t="str">
        <f t="shared" si="8"/>
        <v/>
      </c>
      <c r="K79" s="2">
        <v>2114000</v>
      </c>
      <c r="L79">
        <f>IF(K79="","",K79*Parameters!$B$1)</f>
        <v>443940</v>
      </c>
      <c r="M79">
        <f t="shared" si="6"/>
        <v>1401540</v>
      </c>
      <c r="N79" s="2">
        <v>3047000</v>
      </c>
      <c r="O79">
        <f>IF(N79="","",N79*Parameters!$B$1)</f>
        <v>639870</v>
      </c>
      <c r="P79">
        <f t="shared" si="7"/>
        <v>1597470</v>
      </c>
    </row>
    <row r="80" spans="1:16">
      <c r="A80" t="s">
        <v>511</v>
      </c>
      <c r="B80" t="s">
        <v>399</v>
      </c>
      <c r="C80" t="s">
        <v>15</v>
      </c>
      <c r="D80" t="s">
        <v>16</v>
      </c>
      <c r="E80" t="s">
        <v>17</v>
      </c>
      <c r="G80" s="2" t="str">
        <f>IF(F80="","",F80*Parameters!$B$1)</f>
        <v/>
      </c>
      <c r="H80" s="2">
        <v>4560000</v>
      </c>
      <c r="I80">
        <f>IF(H80="","",H80*Parameters!$B$1)</f>
        <v>957600</v>
      </c>
      <c r="J80" t="str">
        <f t="shared" si="8"/>
        <v/>
      </c>
      <c r="K80" s="2">
        <v>2114000</v>
      </c>
      <c r="L80">
        <f>IF(K80="","",K80*Parameters!$B$1)</f>
        <v>443940</v>
      </c>
      <c r="M80">
        <f t="shared" si="6"/>
        <v>1401540</v>
      </c>
      <c r="N80" s="2">
        <v>3047000</v>
      </c>
      <c r="O80">
        <f>IF(N80="","",N80*Parameters!$B$1)</f>
        <v>639870</v>
      </c>
      <c r="P80">
        <f t="shared" si="7"/>
        <v>1597470</v>
      </c>
    </row>
    <row r="81" spans="1:16">
      <c r="A81" t="s">
        <v>511</v>
      </c>
      <c r="B81" t="s">
        <v>400</v>
      </c>
      <c r="C81" t="s">
        <v>15</v>
      </c>
      <c r="D81" t="s">
        <v>16</v>
      </c>
      <c r="E81" t="s">
        <v>17</v>
      </c>
      <c r="G81" s="2" t="str">
        <f>IF(F81="","",F81*Parameters!$B$1)</f>
        <v/>
      </c>
      <c r="H81" s="2">
        <v>4560000</v>
      </c>
      <c r="I81">
        <f>IF(H81="","",H81*Parameters!$B$1)</f>
        <v>957600</v>
      </c>
      <c r="J81" t="str">
        <f t="shared" si="8"/>
        <v/>
      </c>
      <c r="K81" s="2">
        <v>2114000</v>
      </c>
      <c r="L81">
        <f>IF(K81="","",K81*Parameters!$B$1)</f>
        <v>443940</v>
      </c>
      <c r="M81">
        <f t="shared" si="6"/>
        <v>1401540</v>
      </c>
      <c r="N81" s="2">
        <v>3047000</v>
      </c>
      <c r="O81">
        <f>IF(N81="","",N81*Parameters!$B$1)</f>
        <v>639870</v>
      </c>
      <c r="P81">
        <f t="shared" si="7"/>
        <v>1597470</v>
      </c>
    </row>
    <row r="82" spans="1:16">
      <c r="A82" t="s">
        <v>511</v>
      </c>
      <c r="B82" t="s">
        <v>401</v>
      </c>
      <c r="C82" t="s">
        <v>15</v>
      </c>
      <c r="D82" t="s">
        <v>16</v>
      </c>
      <c r="E82" t="s">
        <v>17</v>
      </c>
      <c r="G82" s="2" t="str">
        <f>IF(F82="","",F82*Parameters!$B$1)</f>
        <v/>
      </c>
      <c r="H82" s="2">
        <v>4560000</v>
      </c>
      <c r="I82">
        <f>IF(H82="","",H82*Parameters!$B$1)</f>
        <v>957600</v>
      </c>
      <c r="J82" t="str">
        <f t="shared" si="8"/>
        <v/>
      </c>
      <c r="K82" s="2">
        <v>2114000</v>
      </c>
      <c r="L82">
        <f>IF(K82="","",K82*Parameters!$B$1)</f>
        <v>443940</v>
      </c>
      <c r="M82">
        <f t="shared" si="6"/>
        <v>1401540</v>
      </c>
      <c r="N82" s="2">
        <v>3047000</v>
      </c>
      <c r="O82">
        <f>IF(N82="","",N82*Parameters!$B$1)</f>
        <v>639870</v>
      </c>
      <c r="P82">
        <f t="shared" si="7"/>
        <v>1597470</v>
      </c>
    </row>
    <row r="83" spans="1:16">
      <c r="A83" t="s">
        <v>511</v>
      </c>
      <c r="B83" t="s">
        <v>402</v>
      </c>
      <c r="C83" t="s">
        <v>15</v>
      </c>
      <c r="D83" t="s">
        <v>16</v>
      </c>
      <c r="E83" t="s">
        <v>17</v>
      </c>
      <c r="G83" s="2" t="str">
        <f>IF(F83="","",F83*Parameters!$B$1)</f>
        <v/>
      </c>
      <c r="H83" s="2">
        <v>4560000</v>
      </c>
      <c r="I83">
        <f>IF(H83="","",H83*Parameters!$B$1)</f>
        <v>957600</v>
      </c>
      <c r="J83" t="str">
        <f t="shared" si="8"/>
        <v/>
      </c>
      <c r="K83" s="2">
        <v>2114000</v>
      </c>
      <c r="L83">
        <f>IF(K83="","",K83*Parameters!$B$1)</f>
        <v>443940</v>
      </c>
      <c r="M83">
        <f t="shared" si="6"/>
        <v>1401540</v>
      </c>
      <c r="N83" s="2">
        <v>3047000</v>
      </c>
      <c r="O83">
        <f>IF(N83="","",N83*Parameters!$B$1)</f>
        <v>639870</v>
      </c>
      <c r="P83">
        <f t="shared" si="7"/>
        <v>1597470</v>
      </c>
    </row>
    <row r="84" spans="1:16">
      <c r="A84" t="s">
        <v>511</v>
      </c>
      <c r="B84" t="s">
        <v>403</v>
      </c>
      <c r="C84" t="s">
        <v>15</v>
      </c>
      <c r="D84" t="s">
        <v>16</v>
      </c>
      <c r="E84" t="s">
        <v>17</v>
      </c>
      <c r="G84" s="2" t="str">
        <f>IF(F84="","",F84*Parameters!$B$1)</f>
        <v/>
      </c>
      <c r="H84" s="2">
        <v>4560000</v>
      </c>
      <c r="I84">
        <f>IF(H84="","",H84*Parameters!$B$1)</f>
        <v>957600</v>
      </c>
      <c r="J84" t="str">
        <f t="shared" si="8"/>
        <v/>
      </c>
      <c r="K84" s="2">
        <v>2114000</v>
      </c>
      <c r="L84">
        <f>IF(K84="","",K84*Parameters!$B$1)</f>
        <v>443940</v>
      </c>
      <c r="M84">
        <f t="shared" si="6"/>
        <v>1401540</v>
      </c>
      <c r="N84" s="2">
        <v>3047000</v>
      </c>
      <c r="O84">
        <f>IF(N84="","",N84*Parameters!$B$1)</f>
        <v>639870</v>
      </c>
      <c r="P84">
        <f t="shared" si="7"/>
        <v>1597470</v>
      </c>
    </row>
    <row r="85" spans="1:16">
      <c r="A85" t="s">
        <v>511</v>
      </c>
      <c r="B85" t="s">
        <v>404</v>
      </c>
      <c r="C85" t="s">
        <v>15</v>
      </c>
      <c r="D85" t="s">
        <v>16</v>
      </c>
      <c r="E85" t="s">
        <v>17</v>
      </c>
      <c r="G85" s="2" t="str">
        <f>IF(F85="","",F85*Parameters!$B$1)</f>
        <v/>
      </c>
      <c r="H85" s="2">
        <v>4560000</v>
      </c>
      <c r="I85">
        <f>IF(H85="","",H85*Parameters!$B$1)</f>
        <v>957600</v>
      </c>
      <c r="J85" t="str">
        <f t="shared" si="8"/>
        <v/>
      </c>
      <c r="K85" s="2">
        <v>2114000</v>
      </c>
      <c r="L85">
        <f>IF(K85="","",K85*Parameters!$B$1)</f>
        <v>443940</v>
      </c>
      <c r="M85">
        <f t="shared" si="6"/>
        <v>1401540</v>
      </c>
      <c r="N85" s="2">
        <v>3047000</v>
      </c>
      <c r="O85">
        <f>IF(N85="","",N85*Parameters!$B$1)</f>
        <v>639870</v>
      </c>
      <c r="P85">
        <f t="shared" si="7"/>
        <v>1597470</v>
      </c>
    </row>
    <row r="86" spans="1:16">
      <c r="A86" t="s">
        <v>511</v>
      </c>
      <c r="B86" t="s">
        <v>405</v>
      </c>
      <c r="C86" t="s">
        <v>15</v>
      </c>
      <c r="D86" t="s">
        <v>16</v>
      </c>
      <c r="E86" t="s">
        <v>17</v>
      </c>
      <c r="G86" s="2" t="str">
        <f>IF(F86="","",F86*Parameters!$B$1)</f>
        <v/>
      </c>
      <c r="H86" s="2">
        <v>4560000</v>
      </c>
      <c r="I86">
        <f>IF(H86="","",H86*Parameters!$B$1)</f>
        <v>957600</v>
      </c>
      <c r="J86" t="str">
        <f t="shared" si="8"/>
        <v/>
      </c>
      <c r="K86" s="2">
        <v>2114000</v>
      </c>
      <c r="L86">
        <f>IF(K86="","",K86*Parameters!$B$1)</f>
        <v>443940</v>
      </c>
      <c r="M86">
        <f t="shared" si="6"/>
        <v>1401540</v>
      </c>
      <c r="N86" s="2">
        <v>3047000</v>
      </c>
      <c r="O86">
        <f>IF(N86="","",N86*Parameters!$B$1)</f>
        <v>639870</v>
      </c>
      <c r="P86">
        <f t="shared" si="7"/>
        <v>1597470</v>
      </c>
    </row>
    <row r="87" spans="1:16">
      <c r="A87" t="s">
        <v>511</v>
      </c>
      <c r="B87" t="s">
        <v>406</v>
      </c>
      <c r="C87" t="s">
        <v>15</v>
      </c>
      <c r="D87" t="s">
        <v>16</v>
      </c>
      <c r="E87" t="s">
        <v>17</v>
      </c>
      <c r="G87" s="2" t="str">
        <f>IF(F87="","",F87*Parameters!$B$1)</f>
        <v/>
      </c>
      <c r="H87" s="2">
        <v>4560000</v>
      </c>
      <c r="I87">
        <f>IF(H87="","",H87*Parameters!$B$1)</f>
        <v>957600</v>
      </c>
      <c r="J87" t="str">
        <f t="shared" si="8"/>
        <v/>
      </c>
      <c r="K87" s="2">
        <v>2114000</v>
      </c>
      <c r="L87">
        <f>IF(K87="","",K87*Parameters!$B$1)</f>
        <v>443940</v>
      </c>
      <c r="M87">
        <f t="shared" si="6"/>
        <v>1401540</v>
      </c>
      <c r="N87" s="2">
        <v>3047000</v>
      </c>
      <c r="O87">
        <f>IF(N87="","",N87*Parameters!$B$1)</f>
        <v>639870</v>
      </c>
      <c r="P87">
        <f t="shared" si="7"/>
        <v>1597470</v>
      </c>
    </row>
    <row r="88" spans="1:16">
      <c r="A88" t="s">
        <v>511</v>
      </c>
      <c r="B88" t="s">
        <v>272</v>
      </c>
      <c r="C88" t="s">
        <v>15</v>
      </c>
      <c r="D88" t="s">
        <v>16</v>
      </c>
      <c r="E88" t="s">
        <v>17</v>
      </c>
      <c r="G88" s="2" t="str">
        <f>IF(F88="","",F88*Parameters!$B$1)</f>
        <v/>
      </c>
      <c r="H88" s="2">
        <v>4560000</v>
      </c>
      <c r="I88">
        <f>IF(H88="","",H88*Parameters!$B$1)</f>
        <v>957600</v>
      </c>
      <c r="J88" t="str">
        <f t="shared" si="8"/>
        <v/>
      </c>
      <c r="K88" s="2">
        <v>2114000</v>
      </c>
      <c r="L88">
        <f>IF(K88="","",K88*Parameters!$B$1)</f>
        <v>443940</v>
      </c>
      <c r="M88">
        <f t="shared" si="6"/>
        <v>1401540</v>
      </c>
      <c r="N88" s="2">
        <v>3047000</v>
      </c>
      <c r="O88">
        <f>IF(N88="","",N88*Parameters!$B$1)</f>
        <v>639870</v>
      </c>
      <c r="P88">
        <f t="shared" si="7"/>
        <v>1597470</v>
      </c>
    </row>
    <row r="89" spans="1:16" s="8" customFormat="1">
      <c r="G89" s="9" t="str">
        <f>IF(F89="","",F89*Parameters!$B$1)</f>
        <v/>
      </c>
      <c r="H89" s="9"/>
      <c r="J89" s="8" t="str">
        <f t="shared" si="8"/>
        <v/>
      </c>
      <c r="K89" s="9"/>
      <c r="L89" t="str">
        <f>IF(K89="","",K89*Parameters!$B$1)</f>
        <v/>
      </c>
      <c r="N89" s="9"/>
    </row>
    <row r="90" spans="1:16">
      <c r="A90" t="s">
        <v>511</v>
      </c>
      <c r="B90" t="s">
        <v>554</v>
      </c>
      <c r="C90" t="s">
        <v>551</v>
      </c>
      <c r="D90" t="s">
        <v>547</v>
      </c>
      <c r="E90" t="s">
        <v>410</v>
      </c>
      <c r="F90" s="2">
        <v>1015000</v>
      </c>
      <c r="G90" s="2">
        <f>IF(F90="","",F90*Parameters!$B$1)</f>
        <v>213150</v>
      </c>
      <c r="H90" s="2">
        <v>5581000</v>
      </c>
      <c r="I90">
        <f>IF(H90="","",H90*Parameters!$B$1)</f>
        <v>1172010</v>
      </c>
      <c r="J90">
        <f t="shared" si="8"/>
        <v>1385160</v>
      </c>
      <c r="L90" t="str">
        <f>IF(K90="","",K90*Parameters!$B$1)</f>
        <v/>
      </c>
    </row>
    <row r="91" spans="1:16">
      <c r="A91" t="s">
        <v>511</v>
      </c>
      <c r="B91" t="s">
        <v>554</v>
      </c>
      <c r="C91" t="s">
        <v>547</v>
      </c>
      <c r="D91" t="s">
        <v>551</v>
      </c>
      <c r="E91" t="s">
        <v>410</v>
      </c>
      <c r="F91" s="2">
        <v>1015000</v>
      </c>
      <c r="G91" s="2">
        <f>IF(F91="","",F91*Parameters!$B$1)</f>
        <v>213150</v>
      </c>
      <c r="H91" s="2">
        <v>5581000</v>
      </c>
      <c r="I91">
        <f>IF(H91="","",H91*Parameters!$B$1)</f>
        <v>1172010</v>
      </c>
      <c r="J91">
        <f t="shared" si="8"/>
        <v>1385160</v>
      </c>
      <c r="L91" t="str">
        <f>IF(K91="","",K91*Parameters!$B$1)</f>
        <v/>
      </c>
    </row>
    <row r="92" spans="1:16">
      <c r="A92" t="s">
        <v>511</v>
      </c>
      <c r="B92" t="s">
        <v>321</v>
      </c>
      <c r="E92" t="s">
        <v>410</v>
      </c>
      <c r="F92" s="2">
        <v>1015000</v>
      </c>
      <c r="G92" s="2">
        <f>IF(F92="","",F92*Parameters!$B$1)</f>
        <v>213150</v>
      </c>
      <c r="H92" s="2">
        <v>5581000</v>
      </c>
      <c r="I92">
        <f>IF(H92="","",H92*Parameters!$B$1)</f>
        <v>1172010</v>
      </c>
      <c r="J92">
        <f t="shared" si="8"/>
        <v>1385160</v>
      </c>
      <c r="L92" t="str">
        <f>IF(K92="","",K92*Parameters!$B$1)</f>
        <v/>
      </c>
    </row>
    <row r="93" spans="1:16">
      <c r="A93" t="s">
        <v>511</v>
      </c>
      <c r="B93" t="s">
        <v>555</v>
      </c>
      <c r="E93" t="s">
        <v>410</v>
      </c>
      <c r="F93" s="2">
        <v>1015000</v>
      </c>
      <c r="G93" s="2">
        <f>IF(F93="","",F93*Parameters!$B$1)</f>
        <v>213150</v>
      </c>
      <c r="H93" s="2">
        <v>5581000</v>
      </c>
      <c r="I93">
        <f>IF(H93="","",H93*Parameters!$B$1)</f>
        <v>1172010</v>
      </c>
      <c r="J93">
        <f t="shared" si="8"/>
        <v>1385160</v>
      </c>
      <c r="L93" t="str">
        <f>IF(K93="","",K93*Parameters!$B$1)</f>
        <v/>
      </c>
    </row>
    <row r="94" spans="1:16">
      <c r="A94" t="s">
        <v>511</v>
      </c>
      <c r="B94" t="s">
        <v>156</v>
      </c>
      <c r="E94" t="s">
        <v>410</v>
      </c>
      <c r="F94" s="2">
        <v>1015000</v>
      </c>
      <c r="G94" s="2">
        <f>IF(F94="","",F94*Parameters!$B$1)</f>
        <v>213150</v>
      </c>
      <c r="H94" s="2">
        <v>5581000</v>
      </c>
      <c r="I94">
        <f>IF(H94="","",H94*Parameters!$B$1)</f>
        <v>1172010</v>
      </c>
      <c r="J94">
        <f t="shared" si="8"/>
        <v>1385160</v>
      </c>
      <c r="L94" t="str">
        <f>IF(K94="","",K94*Parameters!$B$1)</f>
        <v/>
      </c>
    </row>
    <row r="95" spans="1:16">
      <c r="A95" t="s">
        <v>511</v>
      </c>
      <c r="B95" t="s">
        <v>556</v>
      </c>
      <c r="E95" t="s">
        <v>410</v>
      </c>
      <c r="F95" s="2">
        <v>1015000</v>
      </c>
      <c r="G95" s="2">
        <f>IF(F95="","",F95*Parameters!$B$1)</f>
        <v>213150</v>
      </c>
      <c r="H95" s="2">
        <v>5581000</v>
      </c>
      <c r="I95">
        <f>IF(H95="","",H95*Parameters!$B$1)</f>
        <v>1172010</v>
      </c>
      <c r="J95">
        <f t="shared" si="8"/>
        <v>1385160</v>
      </c>
      <c r="L95" t="str">
        <f>IF(K95="","",K95*Parameters!$B$1)</f>
        <v/>
      </c>
    </row>
    <row r="96" spans="1:16">
      <c r="A96" t="s">
        <v>511</v>
      </c>
      <c r="B96" t="s">
        <v>557</v>
      </c>
      <c r="E96" t="s">
        <v>410</v>
      </c>
      <c r="F96" s="2">
        <v>1015000</v>
      </c>
      <c r="G96" s="2">
        <f>IF(F96="","",F96*Parameters!$B$1)</f>
        <v>213150</v>
      </c>
      <c r="H96" s="2">
        <v>5581000</v>
      </c>
      <c r="I96">
        <f>IF(H96="","",H96*Parameters!$B$1)</f>
        <v>1172010</v>
      </c>
      <c r="J96">
        <f t="shared" si="8"/>
        <v>1385160</v>
      </c>
      <c r="L96" t="str">
        <f>IF(K96="","",K96*Parameters!$B$1)</f>
        <v/>
      </c>
    </row>
    <row r="97" spans="1:12">
      <c r="A97" t="s">
        <v>511</v>
      </c>
      <c r="B97" t="s">
        <v>558</v>
      </c>
      <c r="E97" t="s">
        <v>410</v>
      </c>
      <c r="F97" s="2">
        <v>1015000</v>
      </c>
      <c r="G97" s="2">
        <f>IF(F97="","",F97*Parameters!$B$1)</f>
        <v>213150</v>
      </c>
      <c r="H97" s="2">
        <v>5581000</v>
      </c>
      <c r="I97">
        <f>IF(H97="","",H97*Parameters!$B$1)</f>
        <v>1172010</v>
      </c>
      <c r="J97">
        <f t="shared" si="8"/>
        <v>1385160</v>
      </c>
      <c r="L97" t="str">
        <f>IF(K97="","",K97*Parameters!$B$1)</f>
        <v/>
      </c>
    </row>
    <row r="98" spans="1:12">
      <c r="A98" t="s">
        <v>511</v>
      </c>
      <c r="B98" t="s">
        <v>559</v>
      </c>
      <c r="E98" t="s">
        <v>410</v>
      </c>
      <c r="F98" s="2">
        <v>1015000</v>
      </c>
      <c r="G98" s="2">
        <f>IF(F98="","",F98*Parameters!$B$1)</f>
        <v>213150</v>
      </c>
      <c r="H98" s="2">
        <v>5581000</v>
      </c>
      <c r="I98">
        <f>IF(H98="","",H98*Parameters!$B$1)</f>
        <v>1172010</v>
      </c>
      <c r="J98">
        <f t="shared" ref="J98:J129" si="9">IF(OR(G98="",I98=""),"",G98+I98)</f>
        <v>1385160</v>
      </c>
      <c r="L98" t="str">
        <f>IF(K98="","",K98*Parameters!$B$1)</f>
        <v/>
      </c>
    </row>
    <row r="99" spans="1:12">
      <c r="A99" t="s">
        <v>511</v>
      </c>
      <c r="B99" t="s">
        <v>33</v>
      </c>
      <c r="E99" t="s">
        <v>410</v>
      </c>
      <c r="F99" s="2">
        <v>1015000</v>
      </c>
      <c r="G99" s="2">
        <f>IF(F99="","",F99*Parameters!$B$1)</f>
        <v>213150</v>
      </c>
      <c r="H99" s="2">
        <v>5581000</v>
      </c>
      <c r="I99">
        <f>IF(H99="","",H99*Parameters!$B$1)</f>
        <v>1172010</v>
      </c>
      <c r="J99">
        <f t="shared" si="9"/>
        <v>1385160</v>
      </c>
      <c r="L99" t="str">
        <f>IF(K99="","",K99*Parameters!$B$1)</f>
        <v/>
      </c>
    </row>
    <row r="100" spans="1:12">
      <c r="A100" t="s">
        <v>511</v>
      </c>
      <c r="B100" t="s">
        <v>41</v>
      </c>
      <c r="E100" t="s">
        <v>410</v>
      </c>
      <c r="F100" s="2">
        <v>1015000</v>
      </c>
      <c r="G100" s="2">
        <f>IF(F100="","",F100*Parameters!$B$1)</f>
        <v>213150</v>
      </c>
      <c r="H100" s="2">
        <v>5581000</v>
      </c>
      <c r="I100">
        <f>IF(H100="","",H100*Parameters!$B$1)</f>
        <v>1172010</v>
      </c>
      <c r="J100">
        <f t="shared" si="9"/>
        <v>1385160</v>
      </c>
      <c r="L100" t="str">
        <f>IF(K100="","",K100*Parameters!$B$1)</f>
        <v/>
      </c>
    </row>
    <row r="101" spans="1:12">
      <c r="A101" t="s">
        <v>511</v>
      </c>
      <c r="B101" t="s">
        <v>560</v>
      </c>
      <c r="E101" t="s">
        <v>410</v>
      </c>
      <c r="F101" s="2">
        <v>1015000</v>
      </c>
      <c r="G101" s="2">
        <f>IF(F101="","",F101*Parameters!$B$1)</f>
        <v>213150</v>
      </c>
      <c r="H101" s="2">
        <v>5581000</v>
      </c>
      <c r="I101">
        <f>IF(H101="","",H101*Parameters!$B$1)</f>
        <v>1172010</v>
      </c>
      <c r="J101">
        <f t="shared" si="9"/>
        <v>1385160</v>
      </c>
      <c r="L101" t="str">
        <f>IF(K101="","",K101*Parameters!$B$1)</f>
        <v/>
      </c>
    </row>
    <row r="102" spans="1:12">
      <c r="A102" t="s">
        <v>511</v>
      </c>
      <c r="B102" t="s">
        <v>561</v>
      </c>
      <c r="E102" t="s">
        <v>410</v>
      </c>
      <c r="F102" s="2">
        <v>1015000</v>
      </c>
      <c r="G102" s="2">
        <f>IF(F102="","",F102*Parameters!$B$1)</f>
        <v>213150</v>
      </c>
      <c r="H102" s="2">
        <v>5581000</v>
      </c>
      <c r="I102">
        <f>IF(H102="","",H102*Parameters!$B$1)</f>
        <v>1172010</v>
      </c>
      <c r="J102">
        <f t="shared" si="9"/>
        <v>1385160</v>
      </c>
      <c r="L102" t="str">
        <f>IF(K102="","",K102*Parameters!$B$1)</f>
        <v/>
      </c>
    </row>
    <row r="103" spans="1:12">
      <c r="A103" t="s">
        <v>511</v>
      </c>
      <c r="B103" t="s">
        <v>524</v>
      </c>
      <c r="E103" t="s">
        <v>410</v>
      </c>
      <c r="F103" s="2">
        <v>1015000</v>
      </c>
      <c r="G103" s="2">
        <f>IF(F103="","",F103*Parameters!$B$1)</f>
        <v>213150</v>
      </c>
      <c r="H103" s="2">
        <v>5581000</v>
      </c>
      <c r="I103">
        <f>IF(H103="","",H103*Parameters!$B$1)</f>
        <v>1172010</v>
      </c>
      <c r="J103">
        <f t="shared" si="9"/>
        <v>1385160</v>
      </c>
      <c r="L103" t="str">
        <f>IF(K103="","",K103*Parameters!$B$1)</f>
        <v/>
      </c>
    </row>
    <row r="104" spans="1:12">
      <c r="A104" t="s">
        <v>511</v>
      </c>
      <c r="B104" t="s">
        <v>562</v>
      </c>
      <c r="E104" t="s">
        <v>410</v>
      </c>
      <c r="F104" s="2">
        <v>1015000</v>
      </c>
      <c r="G104" s="2">
        <f>IF(F104="","",F104*Parameters!$B$1)</f>
        <v>213150</v>
      </c>
      <c r="H104" s="2">
        <v>5581000</v>
      </c>
      <c r="I104">
        <f>IF(H104="","",H104*Parameters!$B$1)</f>
        <v>1172010</v>
      </c>
      <c r="J104">
        <f t="shared" si="9"/>
        <v>1385160</v>
      </c>
      <c r="L104" t="str">
        <f>IF(K104="","",K104*Parameters!$B$1)</f>
        <v/>
      </c>
    </row>
    <row r="105" spans="1:12">
      <c r="A105" t="s">
        <v>511</v>
      </c>
      <c r="B105" t="s">
        <v>561</v>
      </c>
      <c r="E105" t="s">
        <v>410</v>
      </c>
      <c r="F105" s="2">
        <v>1015000</v>
      </c>
      <c r="G105" s="2">
        <f>IF(F105="","",F105*Parameters!$B$1)</f>
        <v>213150</v>
      </c>
      <c r="H105" s="2">
        <v>5581000</v>
      </c>
      <c r="I105">
        <f>IF(H105="","",H105*Parameters!$B$1)</f>
        <v>1172010</v>
      </c>
      <c r="J105">
        <f t="shared" si="9"/>
        <v>1385160</v>
      </c>
      <c r="L105" t="str">
        <f>IF(K105="","",K105*Parameters!$B$1)</f>
        <v/>
      </c>
    </row>
    <row r="106" spans="1:12">
      <c r="A106" t="s">
        <v>511</v>
      </c>
      <c r="B106" t="s">
        <v>524</v>
      </c>
      <c r="E106" t="s">
        <v>410</v>
      </c>
      <c r="F106" s="2">
        <v>1015000</v>
      </c>
      <c r="G106" s="2">
        <f>IF(F106="","",F106*Parameters!$B$1)</f>
        <v>213150</v>
      </c>
      <c r="H106" s="2">
        <v>5581000</v>
      </c>
      <c r="I106">
        <f>IF(H106="","",H106*Parameters!$B$1)</f>
        <v>1172010</v>
      </c>
      <c r="J106">
        <f t="shared" si="9"/>
        <v>1385160</v>
      </c>
      <c r="L106" t="str">
        <f>IF(K106="","",K106*Parameters!$B$1)</f>
        <v/>
      </c>
    </row>
    <row r="107" spans="1:12">
      <c r="A107" t="s">
        <v>511</v>
      </c>
      <c r="B107" t="s">
        <v>563</v>
      </c>
      <c r="E107" t="s">
        <v>410</v>
      </c>
      <c r="F107" s="2">
        <v>1015000</v>
      </c>
      <c r="G107" s="2">
        <f>IF(F107="","",F107*Parameters!$B$1)</f>
        <v>213150</v>
      </c>
      <c r="H107" s="2">
        <v>5581000</v>
      </c>
      <c r="I107">
        <f>IF(H107="","",H107*Parameters!$B$1)</f>
        <v>1172010</v>
      </c>
      <c r="J107">
        <f t="shared" si="9"/>
        <v>1385160</v>
      </c>
      <c r="L107" t="str">
        <f>IF(K107="","",K107*Parameters!$B$1)</f>
        <v/>
      </c>
    </row>
    <row r="108" spans="1:12">
      <c r="A108" t="s">
        <v>511</v>
      </c>
      <c r="B108" t="s">
        <v>564</v>
      </c>
      <c r="E108" t="s">
        <v>410</v>
      </c>
      <c r="F108" s="2">
        <v>1015000</v>
      </c>
      <c r="G108" s="2">
        <f>IF(F108="","",F108*Parameters!$B$1)</f>
        <v>213150</v>
      </c>
      <c r="H108" s="2">
        <v>5581000</v>
      </c>
      <c r="I108">
        <f>IF(H108="","",H108*Parameters!$B$1)</f>
        <v>1172010</v>
      </c>
      <c r="J108">
        <f t="shared" si="9"/>
        <v>1385160</v>
      </c>
      <c r="L108" t="str">
        <f>IF(K108="","",K108*Parameters!$B$1)</f>
        <v/>
      </c>
    </row>
    <row r="109" spans="1:12">
      <c r="A109" t="s">
        <v>511</v>
      </c>
      <c r="B109" t="s">
        <v>565</v>
      </c>
      <c r="E109" t="s">
        <v>410</v>
      </c>
      <c r="F109" s="2">
        <v>1015000</v>
      </c>
      <c r="G109" s="2">
        <f>IF(F109="","",F109*Parameters!$B$1)</f>
        <v>213150</v>
      </c>
      <c r="H109" s="2">
        <v>5581000</v>
      </c>
      <c r="I109">
        <f>IF(H109="","",H109*Parameters!$B$1)</f>
        <v>1172010</v>
      </c>
      <c r="J109">
        <f t="shared" si="9"/>
        <v>1385160</v>
      </c>
      <c r="L109" t="str">
        <f>IF(K109="","",K109*Parameters!$B$1)</f>
        <v/>
      </c>
    </row>
    <row r="110" spans="1:12">
      <c r="A110" t="s">
        <v>511</v>
      </c>
      <c r="B110" t="s">
        <v>374</v>
      </c>
      <c r="E110" t="s">
        <v>410</v>
      </c>
      <c r="F110" s="2">
        <v>1015000</v>
      </c>
      <c r="G110" s="2">
        <f>IF(F110="","",F110*Parameters!$B$1)</f>
        <v>213150</v>
      </c>
      <c r="H110" s="2">
        <v>5581000</v>
      </c>
      <c r="I110">
        <f>IF(H110="","",H110*Parameters!$B$1)</f>
        <v>1172010</v>
      </c>
      <c r="J110">
        <f t="shared" si="9"/>
        <v>1385160</v>
      </c>
      <c r="L110" t="str">
        <f>IF(K110="","",K110*Parameters!$B$1)</f>
        <v/>
      </c>
    </row>
    <row r="111" spans="1:12">
      <c r="A111" t="s">
        <v>511</v>
      </c>
      <c r="B111" t="s">
        <v>375</v>
      </c>
      <c r="E111" t="s">
        <v>410</v>
      </c>
      <c r="F111" s="2">
        <v>1015000</v>
      </c>
      <c r="G111" s="2">
        <f>IF(F111="","",F111*Parameters!$B$1)</f>
        <v>213150</v>
      </c>
      <c r="H111" s="2">
        <v>5581000</v>
      </c>
      <c r="I111">
        <f>IF(H111="","",H111*Parameters!$B$1)</f>
        <v>1172010</v>
      </c>
      <c r="J111">
        <f t="shared" si="9"/>
        <v>1385160</v>
      </c>
      <c r="L111" t="str">
        <f>IF(K111="","",K111*Parameters!$B$1)</f>
        <v/>
      </c>
    </row>
    <row r="112" spans="1:12">
      <c r="A112" t="s">
        <v>511</v>
      </c>
      <c r="B112" t="s">
        <v>566</v>
      </c>
      <c r="E112" t="s">
        <v>410</v>
      </c>
      <c r="F112" s="2">
        <v>1015000</v>
      </c>
      <c r="G112" s="2">
        <f>IF(F112="","",F112*Parameters!$B$1)</f>
        <v>213150</v>
      </c>
      <c r="H112" s="2">
        <v>5581000</v>
      </c>
      <c r="I112">
        <f>IF(H112="","",H112*Parameters!$B$1)</f>
        <v>1172010</v>
      </c>
      <c r="J112">
        <f t="shared" si="9"/>
        <v>1385160</v>
      </c>
      <c r="L112" t="str">
        <f>IF(K112="","",K112*Parameters!$B$1)</f>
        <v/>
      </c>
    </row>
    <row r="113" spans="1:12">
      <c r="A113" t="s">
        <v>511</v>
      </c>
      <c r="B113" t="s">
        <v>239</v>
      </c>
      <c r="E113" t="s">
        <v>410</v>
      </c>
      <c r="F113" s="2">
        <v>1015000</v>
      </c>
      <c r="G113" s="2">
        <f>IF(F113="","",F113*Parameters!$B$1)</f>
        <v>213150</v>
      </c>
      <c r="H113" s="2">
        <v>6695000</v>
      </c>
      <c r="I113">
        <f>IF(H113="","",H113*Parameters!$B$1)</f>
        <v>1405950</v>
      </c>
      <c r="J113">
        <f t="shared" si="9"/>
        <v>1619100</v>
      </c>
      <c r="L113" t="str">
        <f>IF(K113="","",K113*Parameters!$B$1)</f>
        <v/>
      </c>
    </row>
    <row r="114" spans="1:12">
      <c r="A114" t="s">
        <v>511</v>
      </c>
      <c r="B114" t="s">
        <v>567</v>
      </c>
      <c r="E114" t="s">
        <v>410</v>
      </c>
      <c r="F114" s="2">
        <v>1015000</v>
      </c>
      <c r="G114" s="2">
        <f>IF(F114="","",F114*Parameters!$B$1)</f>
        <v>213150</v>
      </c>
      <c r="H114" s="2">
        <v>6695000</v>
      </c>
      <c r="I114">
        <f>IF(H114="","",H114*Parameters!$B$1)</f>
        <v>1405950</v>
      </c>
      <c r="J114">
        <f t="shared" si="9"/>
        <v>1619100</v>
      </c>
      <c r="L114" t="str">
        <f>IF(K114="","",K114*Parameters!$B$1)</f>
        <v/>
      </c>
    </row>
    <row r="115" spans="1:12">
      <c r="A115" t="s">
        <v>511</v>
      </c>
      <c r="B115" t="s">
        <v>568</v>
      </c>
      <c r="E115" t="s">
        <v>410</v>
      </c>
      <c r="F115" s="2">
        <v>1015000</v>
      </c>
      <c r="G115" s="2">
        <f>IF(F115="","",F115*Parameters!$B$1)</f>
        <v>213150</v>
      </c>
      <c r="H115" s="2">
        <v>6695000</v>
      </c>
      <c r="I115">
        <f>IF(H115="","",H115*Parameters!$B$1)</f>
        <v>1405950</v>
      </c>
      <c r="J115">
        <f t="shared" si="9"/>
        <v>1619100</v>
      </c>
      <c r="L115" t="str">
        <f>IF(K115="","",K115*Parameters!$B$1)</f>
        <v/>
      </c>
    </row>
    <row r="116" spans="1:12">
      <c r="A116" t="s">
        <v>511</v>
      </c>
      <c r="B116" t="s">
        <v>382</v>
      </c>
      <c r="E116" t="s">
        <v>410</v>
      </c>
      <c r="F116" s="2">
        <v>1015000</v>
      </c>
      <c r="G116" s="2">
        <f>IF(F116="","",F116*Parameters!$B$1)</f>
        <v>213150</v>
      </c>
      <c r="H116" s="2">
        <v>6695000</v>
      </c>
      <c r="I116">
        <f>IF(H116="","",H116*Parameters!$B$1)</f>
        <v>1405950</v>
      </c>
      <c r="J116">
        <f t="shared" si="9"/>
        <v>1619100</v>
      </c>
      <c r="L116" t="str">
        <f>IF(K116="","",K116*Parameters!$B$1)</f>
        <v/>
      </c>
    </row>
    <row r="117" spans="1:12">
      <c r="A117" t="s">
        <v>511</v>
      </c>
      <c r="B117" t="s">
        <v>569</v>
      </c>
      <c r="E117" t="s">
        <v>410</v>
      </c>
      <c r="F117" s="2">
        <v>1015000</v>
      </c>
      <c r="G117" s="2">
        <f>IF(F117="","",F117*Parameters!$B$1)</f>
        <v>213150</v>
      </c>
      <c r="H117" s="2">
        <v>6695000</v>
      </c>
      <c r="I117">
        <f>IF(H117="","",H117*Parameters!$B$1)</f>
        <v>1405950</v>
      </c>
      <c r="J117">
        <f t="shared" si="9"/>
        <v>1619100</v>
      </c>
      <c r="L117" t="str">
        <f>IF(K117="","",K117*Parameters!$B$1)</f>
        <v/>
      </c>
    </row>
    <row r="118" spans="1:12">
      <c r="A118" t="s">
        <v>511</v>
      </c>
      <c r="B118" t="s">
        <v>570</v>
      </c>
      <c r="E118" t="s">
        <v>410</v>
      </c>
      <c r="F118" s="2">
        <v>1015000</v>
      </c>
      <c r="G118" s="2">
        <f>IF(F118="","",F118*Parameters!$B$1)</f>
        <v>213150</v>
      </c>
      <c r="H118" s="2">
        <v>6695000</v>
      </c>
      <c r="I118">
        <f>IF(H118="","",H118*Parameters!$B$1)</f>
        <v>1405950</v>
      </c>
      <c r="J118">
        <f t="shared" si="9"/>
        <v>1619100</v>
      </c>
      <c r="L118" t="str">
        <f>IF(K118="","",K118*Parameters!$B$1)</f>
        <v/>
      </c>
    </row>
    <row r="119" spans="1:12">
      <c r="A119" t="s">
        <v>511</v>
      </c>
      <c r="B119" t="s">
        <v>571</v>
      </c>
      <c r="E119" t="s">
        <v>410</v>
      </c>
      <c r="F119" s="2">
        <v>1015000</v>
      </c>
      <c r="G119" s="2">
        <f>IF(F119="","",F119*Parameters!$B$1)</f>
        <v>213150</v>
      </c>
      <c r="H119" s="2">
        <v>6695000</v>
      </c>
      <c r="I119">
        <f>IF(H119="","",H119*Parameters!$B$1)</f>
        <v>1405950</v>
      </c>
      <c r="J119">
        <f t="shared" si="9"/>
        <v>1619100</v>
      </c>
      <c r="L119" t="str">
        <f>IF(K119="","",K119*Parameters!$B$1)</f>
        <v/>
      </c>
    </row>
    <row r="120" spans="1:12">
      <c r="A120" t="s">
        <v>511</v>
      </c>
      <c r="B120" t="s">
        <v>572</v>
      </c>
      <c r="E120" t="s">
        <v>410</v>
      </c>
      <c r="F120" s="2">
        <v>1015000</v>
      </c>
      <c r="G120" s="2">
        <f>IF(F120="","",F120*Parameters!$B$1)</f>
        <v>213150</v>
      </c>
      <c r="H120" s="2">
        <v>7812000</v>
      </c>
      <c r="I120">
        <f>IF(H120="","",H120*Parameters!$B$1)</f>
        <v>1640520</v>
      </c>
      <c r="J120">
        <f t="shared" si="9"/>
        <v>1853670</v>
      </c>
      <c r="L120" t="str">
        <f>IF(K120="","",K120*Parameters!$B$1)</f>
        <v/>
      </c>
    </row>
    <row r="121" spans="1:12">
      <c r="A121" t="s">
        <v>511</v>
      </c>
      <c r="B121" t="s">
        <v>573</v>
      </c>
      <c r="C121" t="s">
        <v>15</v>
      </c>
      <c r="D121" t="s">
        <v>16</v>
      </c>
      <c r="E121" t="s">
        <v>410</v>
      </c>
      <c r="F121" s="2">
        <v>1015000</v>
      </c>
      <c r="G121" s="2">
        <f>IF(F121="","",F121*Parameters!$B$1)</f>
        <v>213150</v>
      </c>
      <c r="H121" s="2">
        <v>7812000</v>
      </c>
      <c r="I121">
        <f>IF(H121="","",H121*Parameters!$B$1)</f>
        <v>1640520</v>
      </c>
      <c r="J121">
        <f t="shared" si="9"/>
        <v>1853670</v>
      </c>
      <c r="L121" t="str">
        <f>IF(K121="","",K121*Parameters!$B$1)</f>
        <v/>
      </c>
    </row>
    <row r="122" spans="1:12">
      <c r="A122" t="s">
        <v>511</v>
      </c>
      <c r="B122" t="s">
        <v>573</v>
      </c>
      <c r="C122" t="s">
        <v>574</v>
      </c>
      <c r="D122" t="s">
        <v>15</v>
      </c>
      <c r="E122" t="s">
        <v>410</v>
      </c>
      <c r="F122" s="2">
        <v>1015000</v>
      </c>
      <c r="G122" s="2">
        <f>IF(F122="","",F122*Parameters!$B$1)</f>
        <v>213150</v>
      </c>
      <c r="H122" s="2">
        <v>7812000</v>
      </c>
      <c r="I122">
        <f>IF(H122="","",H122*Parameters!$B$1)</f>
        <v>1640520</v>
      </c>
      <c r="J122">
        <f t="shared" si="9"/>
        <v>1853670</v>
      </c>
      <c r="L122" t="str">
        <f>IF(K122="","",K122*Parameters!$B$1)</f>
        <v/>
      </c>
    </row>
    <row r="123" spans="1:12">
      <c r="A123" t="s">
        <v>511</v>
      </c>
      <c r="B123" t="s">
        <v>257</v>
      </c>
      <c r="E123" t="s">
        <v>410</v>
      </c>
      <c r="F123" s="2">
        <v>1015000</v>
      </c>
      <c r="G123" s="2">
        <f>IF(F123="","",F123*Parameters!$B$1)</f>
        <v>213150</v>
      </c>
      <c r="H123" s="2">
        <v>7812000</v>
      </c>
      <c r="I123">
        <f>IF(H123="","",H123*Parameters!$B$1)</f>
        <v>1640520</v>
      </c>
      <c r="J123">
        <f t="shared" si="9"/>
        <v>1853670</v>
      </c>
      <c r="L123" t="str">
        <f>IF(K123="","",K123*Parameters!$B$1)</f>
        <v/>
      </c>
    </row>
    <row r="124" spans="1:12">
      <c r="A124" t="s">
        <v>511</v>
      </c>
      <c r="B124" t="s">
        <v>575</v>
      </c>
      <c r="E124" t="s">
        <v>410</v>
      </c>
      <c r="F124" s="2">
        <v>1015000</v>
      </c>
      <c r="G124" s="2">
        <f>IF(F124="","",F124*Parameters!$B$1)</f>
        <v>213150</v>
      </c>
      <c r="H124" s="2">
        <v>7812000</v>
      </c>
      <c r="I124">
        <f>IF(H124="","",H124*Parameters!$B$1)</f>
        <v>1640520</v>
      </c>
      <c r="J124">
        <f t="shared" si="9"/>
        <v>1853670</v>
      </c>
      <c r="L124" t="str">
        <f>IF(K124="","",K124*Parameters!$B$1)</f>
        <v/>
      </c>
    </row>
    <row r="125" spans="1:12">
      <c r="A125" t="s">
        <v>511</v>
      </c>
      <c r="B125" t="s">
        <v>31</v>
      </c>
      <c r="E125" t="s">
        <v>410</v>
      </c>
      <c r="F125" s="2">
        <v>1015000</v>
      </c>
      <c r="G125" s="2">
        <f>IF(F125="","",F125*Parameters!$B$1)</f>
        <v>213150</v>
      </c>
      <c r="H125" s="2">
        <v>6695000</v>
      </c>
      <c r="I125">
        <f>IF(H125="","",H125*Parameters!$B$1)</f>
        <v>1405950</v>
      </c>
      <c r="J125">
        <f t="shared" si="9"/>
        <v>1619100</v>
      </c>
      <c r="L125" t="str">
        <f>IF(K125="","",K125*Parameters!$B$1)</f>
        <v/>
      </c>
    </row>
    <row r="126" spans="1:12">
      <c r="A126" t="s">
        <v>511</v>
      </c>
      <c r="B126" t="s">
        <v>576</v>
      </c>
      <c r="E126" t="s">
        <v>410</v>
      </c>
      <c r="F126" s="2">
        <v>1015000</v>
      </c>
      <c r="G126" s="2">
        <f>IF(F126="","",F126*Parameters!$B$1)</f>
        <v>213150</v>
      </c>
      <c r="H126" s="2">
        <v>7812000</v>
      </c>
      <c r="I126">
        <f>IF(H126="","",H126*Parameters!$B$1)</f>
        <v>1640520</v>
      </c>
      <c r="J126">
        <f t="shared" si="9"/>
        <v>1853670</v>
      </c>
      <c r="L126" t="str">
        <f>IF(K126="","",K126*Parameters!$B$1)</f>
        <v/>
      </c>
    </row>
    <row r="127" spans="1:12">
      <c r="A127" t="s">
        <v>511</v>
      </c>
      <c r="B127" t="s">
        <v>577</v>
      </c>
      <c r="E127" t="s">
        <v>410</v>
      </c>
      <c r="F127" s="2">
        <v>1015000</v>
      </c>
      <c r="G127" s="2">
        <f>IF(F127="","",F127*Parameters!$B$1)</f>
        <v>213150</v>
      </c>
      <c r="H127" s="2">
        <v>7812000</v>
      </c>
      <c r="I127">
        <f>IF(H127="","",H127*Parameters!$B$1)</f>
        <v>1640520</v>
      </c>
      <c r="J127">
        <f t="shared" si="9"/>
        <v>1853670</v>
      </c>
      <c r="L127" t="str">
        <f>IF(K127="","",K127*Parameters!$B$1)</f>
        <v/>
      </c>
    </row>
    <row r="128" spans="1:12">
      <c r="A128" t="s">
        <v>511</v>
      </c>
      <c r="B128" t="s">
        <v>29</v>
      </c>
      <c r="E128" t="s">
        <v>410</v>
      </c>
      <c r="F128" s="2">
        <v>1015000</v>
      </c>
      <c r="G128" s="2">
        <f>IF(F128="","",F128*Parameters!$B$1)</f>
        <v>213150</v>
      </c>
      <c r="H128" s="2">
        <v>7812000</v>
      </c>
      <c r="I128">
        <f>IF(H128="","",H128*Parameters!$B$1)</f>
        <v>1640520</v>
      </c>
      <c r="J128">
        <f t="shared" si="9"/>
        <v>1853670</v>
      </c>
      <c r="L128" t="str">
        <f>IF(K128="","",K128*Parameters!$B$1)</f>
        <v/>
      </c>
    </row>
    <row r="129" spans="1:12">
      <c r="A129" t="s">
        <v>511</v>
      </c>
      <c r="B129" t="s">
        <v>285</v>
      </c>
      <c r="E129" t="s">
        <v>410</v>
      </c>
      <c r="F129" s="2">
        <v>1015000</v>
      </c>
      <c r="G129" s="2">
        <f>IF(F129="","",F129*Parameters!$B$1)</f>
        <v>213150</v>
      </c>
      <c r="H129" s="2">
        <v>7812000</v>
      </c>
      <c r="I129">
        <f>IF(H129="","",H129*Parameters!$B$1)</f>
        <v>1640520</v>
      </c>
      <c r="J129">
        <f t="shared" si="9"/>
        <v>1853670</v>
      </c>
      <c r="L129" t="str">
        <f>IF(K129="","",K129*Parameters!$B$1)</f>
        <v/>
      </c>
    </row>
    <row r="130" spans="1:12">
      <c r="A130" t="s">
        <v>511</v>
      </c>
      <c r="B130" t="s">
        <v>578</v>
      </c>
      <c r="E130" t="s">
        <v>410</v>
      </c>
      <c r="F130" s="2">
        <v>1015000</v>
      </c>
      <c r="G130" s="2">
        <f>IF(F130="","",F130*Parameters!$B$1)</f>
        <v>213150</v>
      </c>
      <c r="H130" s="2">
        <v>7812000</v>
      </c>
      <c r="I130">
        <f>IF(H130="","",H130*Parameters!$B$1)</f>
        <v>1640520</v>
      </c>
      <c r="J130">
        <f t="shared" ref="J130:J145" si="10">IF(OR(G130="",I130=""),"",G130+I130)</f>
        <v>1853670</v>
      </c>
      <c r="L130" t="str">
        <f>IF(K130="","",K130*Parameters!$B$1)</f>
        <v/>
      </c>
    </row>
    <row r="131" spans="1:12">
      <c r="A131" t="s">
        <v>511</v>
      </c>
      <c r="B131" t="s">
        <v>579</v>
      </c>
      <c r="E131" t="s">
        <v>410</v>
      </c>
      <c r="F131" s="2">
        <v>1015000</v>
      </c>
      <c r="G131" s="2">
        <f>IF(F131="","",F131*Parameters!$B$1)</f>
        <v>213150</v>
      </c>
      <c r="H131" s="2">
        <v>7812000</v>
      </c>
      <c r="I131">
        <f>IF(H131="","",H131*Parameters!$B$1)</f>
        <v>1640520</v>
      </c>
      <c r="J131">
        <f t="shared" si="10"/>
        <v>1853670</v>
      </c>
      <c r="L131" t="str">
        <f>IF(K131="","",K131*Parameters!$B$1)</f>
        <v/>
      </c>
    </row>
    <row r="132" spans="1:12">
      <c r="A132" t="s">
        <v>511</v>
      </c>
      <c r="B132" t="s">
        <v>580</v>
      </c>
      <c r="E132" t="s">
        <v>410</v>
      </c>
      <c r="F132" s="2">
        <v>1015000</v>
      </c>
      <c r="G132" s="2">
        <f>IF(F132="","",F132*Parameters!$B$1)</f>
        <v>213150</v>
      </c>
      <c r="H132" s="2">
        <v>9448000</v>
      </c>
      <c r="I132">
        <f>IF(H132="","",H132*Parameters!$B$1)</f>
        <v>1984080</v>
      </c>
      <c r="J132">
        <f t="shared" si="10"/>
        <v>2197230</v>
      </c>
      <c r="L132" t="str">
        <f>IF(K132="","",K132*Parameters!$B$1)</f>
        <v/>
      </c>
    </row>
    <row r="133" spans="1:12">
      <c r="A133" t="s">
        <v>511</v>
      </c>
      <c r="B133" t="s">
        <v>581</v>
      </c>
      <c r="E133" t="s">
        <v>410</v>
      </c>
      <c r="F133" s="2">
        <v>1015000</v>
      </c>
      <c r="G133" s="2">
        <f>IF(F133="","",F133*Parameters!$B$1)</f>
        <v>213150</v>
      </c>
      <c r="H133" s="2">
        <v>9448000</v>
      </c>
      <c r="I133">
        <f>IF(H133="","",H133*Parameters!$B$1)</f>
        <v>1984080</v>
      </c>
      <c r="J133">
        <f t="shared" si="10"/>
        <v>2197230</v>
      </c>
      <c r="L133" t="str">
        <f>IF(K133="","",K133*Parameters!$B$1)</f>
        <v/>
      </c>
    </row>
    <row r="134" spans="1:12">
      <c r="A134" t="s">
        <v>511</v>
      </c>
      <c r="B134" t="s">
        <v>582</v>
      </c>
      <c r="E134" t="s">
        <v>410</v>
      </c>
      <c r="F134" s="2">
        <v>1015000</v>
      </c>
      <c r="G134" s="2">
        <f>IF(F134="","",F134*Parameters!$B$1)</f>
        <v>213150</v>
      </c>
      <c r="H134" s="2">
        <v>9448000</v>
      </c>
      <c r="I134">
        <f>IF(H134="","",H134*Parameters!$B$1)</f>
        <v>1984080</v>
      </c>
      <c r="J134">
        <f t="shared" si="10"/>
        <v>2197230</v>
      </c>
      <c r="L134" t="str">
        <f>IF(K134="","",K134*Parameters!$B$1)</f>
        <v/>
      </c>
    </row>
    <row r="135" spans="1:12">
      <c r="A135" t="s">
        <v>511</v>
      </c>
      <c r="B135" t="s">
        <v>583</v>
      </c>
      <c r="E135" t="s">
        <v>410</v>
      </c>
      <c r="F135" s="2">
        <v>1015000</v>
      </c>
      <c r="G135" s="2">
        <f>IF(F135="","",F135*Parameters!$B$1)</f>
        <v>213150</v>
      </c>
      <c r="H135" s="2">
        <v>9448000</v>
      </c>
      <c r="I135">
        <f>IF(H135="","",H135*Parameters!$B$1)</f>
        <v>1984080</v>
      </c>
      <c r="J135">
        <f t="shared" si="10"/>
        <v>2197230</v>
      </c>
      <c r="L135" t="str">
        <f>IF(K135="","",K135*Parameters!$B$1)</f>
        <v/>
      </c>
    </row>
    <row r="136" spans="1:12">
      <c r="A136" t="s">
        <v>511</v>
      </c>
      <c r="B136" t="s">
        <v>584</v>
      </c>
      <c r="E136" t="s">
        <v>410</v>
      </c>
      <c r="F136" s="2">
        <v>1015000</v>
      </c>
      <c r="G136" s="2">
        <f>IF(F136="","",F136*Parameters!$B$1)</f>
        <v>213150</v>
      </c>
      <c r="H136" s="2">
        <v>9448000</v>
      </c>
      <c r="I136">
        <f>IF(H136="","",H136*Parameters!$B$1)</f>
        <v>1984080</v>
      </c>
      <c r="J136">
        <f t="shared" si="10"/>
        <v>2197230</v>
      </c>
      <c r="L136" t="str">
        <f>IF(K136="","",K136*Parameters!$B$1)</f>
        <v/>
      </c>
    </row>
    <row r="137" spans="1:12">
      <c r="A137" t="s">
        <v>511</v>
      </c>
      <c r="B137" t="s">
        <v>585</v>
      </c>
      <c r="E137" t="s">
        <v>410</v>
      </c>
      <c r="F137" s="2">
        <v>1015000</v>
      </c>
      <c r="G137" s="2">
        <f>IF(F137="","",F137*Parameters!$B$1)</f>
        <v>213150</v>
      </c>
      <c r="H137" s="2">
        <v>9448000</v>
      </c>
      <c r="I137">
        <f>IF(H137="","",H137*Parameters!$B$1)</f>
        <v>1984080</v>
      </c>
      <c r="J137">
        <f t="shared" si="10"/>
        <v>2197230</v>
      </c>
      <c r="L137" t="str">
        <f>IF(K137="","",K137*Parameters!$B$1)</f>
        <v/>
      </c>
    </row>
    <row r="138" spans="1:12">
      <c r="A138" t="s">
        <v>511</v>
      </c>
      <c r="B138" t="s">
        <v>586</v>
      </c>
      <c r="E138" t="s">
        <v>410</v>
      </c>
      <c r="F138" s="2">
        <v>1015000</v>
      </c>
      <c r="G138" s="2">
        <f>IF(F138="","",F138*Parameters!$B$1)</f>
        <v>213150</v>
      </c>
      <c r="H138" s="2">
        <v>9448000</v>
      </c>
      <c r="I138">
        <f>IF(H138="","",H138*Parameters!$B$1)</f>
        <v>1984080</v>
      </c>
      <c r="J138">
        <f t="shared" si="10"/>
        <v>2197230</v>
      </c>
      <c r="L138" t="str">
        <f>IF(K138="","",K138*Parameters!$B$1)</f>
        <v/>
      </c>
    </row>
    <row r="139" spans="1:12">
      <c r="A139" t="s">
        <v>511</v>
      </c>
      <c r="B139" t="s">
        <v>587</v>
      </c>
      <c r="E139" t="s">
        <v>410</v>
      </c>
      <c r="F139" s="2">
        <v>1015000</v>
      </c>
      <c r="G139" s="2">
        <f>IF(F139="","",F139*Parameters!$B$1)</f>
        <v>213150</v>
      </c>
      <c r="H139" s="2">
        <v>9448000</v>
      </c>
      <c r="I139">
        <f>IF(H139="","",H139*Parameters!$B$1)</f>
        <v>1984080</v>
      </c>
      <c r="J139">
        <f t="shared" si="10"/>
        <v>2197230</v>
      </c>
      <c r="L139" t="str">
        <f>IF(K139="","",K139*Parameters!$B$1)</f>
        <v/>
      </c>
    </row>
    <row r="140" spans="1:12">
      <c r="A140" t="s">
        <v>511</v>
      </c>
      <c r="B140" t="s">
        <v>588</v>
      </c>
      <c r="E140" t="s">
        <v>410</v>
      </c>
      <c r="F140" s="2">
        <v>1015000</v>
      </c>
      <c r="G140" s="2">
        <f>IF(F140="","",F140*Parameters!$B$1)</f>
        <v>213150</v>
      </c>
      <c r="H140" s="2">
        <v>9448000</v>
      </c>
      <c r="I140">
        <f>IF(H140="","",H140*Parameters!$B$1)</f>
        <v>1984080</v>
      </c>
      <c r="J140">
        <f t="shared" si="10"/>
        <v>2197230</v>
      </c>
      <c r="L140" t="str">
        <f>IF(K140="","",K140*Parameters!$B$1)</f>
        <v/>
      </c>
    </row>
    <row r="141" spans="1:12">
      <c r="A141" t="s">
        <v>511</v>
      </c>
      <c r="B141" t="s">
        <v>589</v>
      </c>
      <c r="E141" t="s">
        <v>410</v>
      </c>
      <c r="F141" s="2">
        <v>1015000</v>
      </c>
      <c r="G141" s="2">
        <f>IF(F141="","",F141*Parameters!$B$1)</f>
        <v>213150</v>
      </c>
      <c r="H141" s="2">
        <v>9448000</v>
      </c>
      <c r="I141">
        <f>IF(H141="","",H141*Parameters!$B$1)</f>
        <v>1984080</v>
      </c>
      <c r="J141">
        <f t="shared" si="10"/>
        <v>2197230</v>
      </c>
      <c r="L141" t="str">
        <f>IF(K141="","",K141*Parameters!$B$1)</f>
        <v/>
      </c>
    </row>
    <row r="142" spans="1:12">
      <c r="A142" t="s">
        <v>511</v>
      </c>
      <c r="B142" t="s">
        <v>590</v>
      </c>
      <c r="E142" t="s">
        <v>410</v>
      </c>
      <c r="F142" s="2">
        <v>1015000</v>
      </c>
      <c r="G142" s="2">
        <f>IF(F142="","",F142*Parameters!$B$1)</f>
        <v>213150</v>
      </c>
      <c r="H142" s="2">
        <v>9448000</v>
      </c>
      <c r="I142">
        <f>IF(H142="","",H142*Parameters!$B$1)</f>
        <v>1984080</v>
      </c>
      <c r="J142">
        <f t="shared" si="10"/>
        <v>2197230</v>
      </c>
      <c r="L142" t="str">
        <f>IF(K142="","",K142*Parameters!$B$1)</f>
        <v/>
      </c>
    </row>
    <row r="143" spans="1:12">
      <c r="A143" t="s">
        <v>511</v>
      </c>
      <c r="B143" t="s">
        <v>591</v>
      </c>
      <c r="E143" t="s">
        <v>410</v>
      </c>
      <c r="F143" s="2">
        <v>1015000</v>
      </c>
      <c r="G143" s="2">
        <f>IF(F143="","",F143*Parameters!$B$1)</f>
        <v>213150</v>
      </c>
      <c r="H143" s="2">
        <v>9448000</v>
      </c>
      <c r="I143">
        <f>IF(H143="","",H143*Parameters!$B$1)</f>
        <v>1984080</v>
      </c>
      <c r="J143">
        <f t="shared" si="10"/>
        <v>2197230</v>
      </c>
      <c r="L143" t="str">
        <f>IF(K143="","",K143*Parameters!$B$1)</f>
        <v/>
      </c>
    </row>
    <row r="144" spans="1:12">
      <c r="G144" s="2" t="str">
        <f>IF(F144="","",F144*Parameters!$B$1)</f>
        <v/>
      </c>
      <c r="J144" t="str">
        <f t="shared" si="10"/>
        <v/>
      </c>
    </row>
    <row r="145" spans="7:10">
      <c r="G145" s="2" t="str">
        <f>IF(F145="","",F145*Parameters!$B$1)</f>
        <v/>
      </c>
      <c r="J145" t="str">
        <f t="shared" si="10"/>
        <v/>
      </c>
    </row>
    <row r="146" spans="7:10">
      <c r="G146" s="2" t="str">
        <f>IF(F146="","",F146*Parameters!$B$1)</f>
        <v/>
      </c>
    </row>
    <row r="147" spans="7:10">
      <c r="G147" s="2" t="str">
        <f>IF(F147="","",F147*Parameters!$B$1)</f>
        <v/>
      </c>
    </row>
    <row r="148" spans="7:10">
      <c r="G148" s="2" t="str">
        <f>IF(F148="","",F148*Parameters!$B$1)</f>
        <v/>
      </c>
    </row>
    <row r="149" spans="7:10">
      <c r="G149" s="2" t="str">
        <f>IF(F149="","",F149*Parameters!$B$1)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F59AC-3FB0-4BA8-A777-30FDA34B435E}">
  <dimension ref="A1:J149"/>
  <sheetViews>
    <sheetView workbookViewId="0">
      <pane ySplit="1" topLeftCell="C47" activePane="bottomLeft" state="frozen"/>
      <selection pane="bottomLeft" activeCell="I56" sqref="I56"/>
    </sheetView>
  </sheetViews>
  <sheetFormatPr defaultRowHeight="15"/>
  <cols>
    <col min="1" max="1" width="19.5703125" customWidth="1"/>
    <col min="2" max="2" width="43.140625" customWidth="1"/>
    <col min="3" max="3" width="16" customWidth="1"/>
    <col min="4" max="4" width="19.85546875" customWidth="1"/>
    <col min="5" max="5" width="23.42578125" customWidth="1"/>
    <col min="6" max="6" width="18.5703125" customWidth="1"/>
    <col min="7" max="7" width="25.140625" customWidth="1"/>
    <col min="8" max="8" width="19.42578125" customWidth="1"/>
    <col min="9" max="9" width="28.28515625" customWidth="1"/>
    <col min="10" max="10" width="33.28515625" customWidth="1"/>
  </cols>
  <sheetData>
    <row r="1" spans="1:10" s="7" customFormat="1">
      <c r="A1" s="7" t="s">
        <v>592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289</v>
      </c>
      <c r="I1" s="7" t="s">
        <v>290</v>
      </c>
      <c r="J1" s="7" t="s">
        <v>291</v>
      </c>
    </row>
    <row r="2" spans="1:10">
      <c r="A2" t="s">
        <v>593</v>
      </c>
      <c r="B2" t="s">
        <v>317</v>
      </c>
      <c r="E2" t="s">
        <v>594</v>
      </c>
      <c r="F2" s="2">
        <v>4578700</v>
      </c>
      <c r="G2">
        <f>IF(F2="","",F2*Parameters!$B$1)</f>
        <v>961527</v>
      </c>
    </row>
    <row r="3" spans="1:10">
      <c r="A3" t="s">
        <v>593</v>
      </c>
      <c r="B3" t="s">
        <v>595</v>
      </c>
      <c r="E3" t="s">
        <v>594</v>
      </c>
      <c r="G3" t="str">
        <f>IF(F3="","",F3*Parameters!$B$1)</f>
        <v/>
      </c>
    </row>
    <row r="4" spans="1:10">
      <c r="A4" t="s">
        <v>593</v>
      </c>
      <c r="B4" t="s">
        <v>596</v>
      </c>
      <c r="E4" t="s">
        <v>594</v>
      </c>
      <c r="F4" s="2">
        <v>3939700</v>
      </c>
      <c r="G4">
        <f>IF(F4="","",F4*Parameters!$B$1)</f>
        <v>827337</v>
      </c>
    </row>
    <row r="5" spans="1:10">
      <c r="A5" t="s">
        <v>593</v>
      </c>
      <c r="B5" t="s">
        <v>597</v>
      </c>
      <c r="E5" t="s">
        <v>594</v>
      </c>
      <c r="F5" s="2">
        <v>3939700</v>
      </c>
      <c r="G5">
        <f>IF(F5="","",F5*Parameters!$B$1)</f>
        <v>827337</v>
      </c>
    </row>
    <row r="6" spans="1:10">
      <c r="A6" t="s">
        <v>593</v>
      </c>
      <c r="B6" t="s">
        <v>194</v>
      </c>
      <c r="E6" t="s">
        <v>594</v>
      </c>
      <c r="G6" t="str">
        <f>IF(F6="","",F6*Parameters!$B$1)</f>
        <v/>
      </c>
    </row>
    <row r="7" spans="1:10">
      <c r="A7" t="s">
        <v>593</v>
      </c>
      <c r="B7" t="s">
        <v>315</v>
      </c>
      <c r="E7" t="s">
        <v>594</v>
      </c>
      <c r="G7" t="str">
        <f>IF(F7="","",F7*Parameters!$B$1)</f>
        <v/>
      </c>
    </row>
    <row r="8" spans="1:10">
      <c r="A8" t="s">
        <v>593</v>
      </c>
      <c r="B8" t="s">
        <v>598</v>
      </c>
      <c r="E8" t="s">
        <v>594</v>
      </c>
      <c r="F8" s="2">
        <v>3939700</v>
      </c>
      <c r="G8">
        <f>IF(F8="","",F8*Parameters!$B$1)</f>
        <v>827337</v>
      </c>
    </row>
    <row r="9" spans="1:10">
      <c r="A9" t="s">
        <v>593</v>
      </c>
      <c r="B9" t="s">
        <v>599</v>
      </c>
      <c r="E9" t="s">
        <v>594</v>
      </c>
      <c r="F9" s="2">
        <v>3939700</v>
      </c>
      <c r="G9">
        <f>IF(F9="","",F9*Parameters!$B$1)</f>
        <v>827337</v>
      </c>
    </row>
    <row r="10" spans="1:10">
      <c r="A10" t="s">
        <v>593</v>
      </c>
      <c r="B10" t="s">
        <v>600</v>
      </c>
      <c r="E10" t="s">
        <v>594</v>
      </c>
      <c r="F10" s="2">
        <v>3939700</v>
      </c>
      <c r="G10">
        <f>IF(F10="","",F10*Parameters!$B$1)</f>
        <v>827337</v>
      </c>
    </row>
    <row r="11" spans="1:10">
      <c r="A11" t="s">
        <v>593</v>
      </c>
      <c r="B11" t="s">
        <v>601</v>
      </c>
      <c r="E11" t="s">
        <v>594</v>
      </c>
      <c r="F11" s="2">
        <v>3939700</v>
      </c>
      <c r="G11">
        <f>IF(F11="","",F11*Parameters!$B$1)</f>
        <v>827337</v>
      </c>
    </row>
    <row r="12" spans="1:10">
      <c r="A12" t="s">
        <v>593</v>
      </c>
      <c r="B12" t="s">
        <v>602</v>
      </c>
      <c r="E12" t="s">
        <v>594</v>
      </c>
      <c r="F12" s="2">
        <v>4578700</v>
      </c>
      <c r="G12">
        <f>IF(F12="","",F12*Parameters!$B$1)</f>
        <v>961527</v>
      </c>
    </row>
    <row r="13" spans="1:10" ht="30.75">
      <c r="A13" t="s">
        <v>593</v>
      </c>
      <c r="B13" s="1" t="s">
        <v>603</v>
      </c>
      <c r="E13" t="s">
        <v>594</v>
      </c>
      <c r="G13" t="str">
        <f>IF(F13="","",F13*Parameters!$B$1)</f>
        <v/>
      </c>
    </row>
    <row r="14" spans="1:10">
      <c r="A14" t="s">
        <v>593</v>
      </c>
      <c r="B14" t="s">
        <v>604</v>
      </c>
      <c r="E14" t="s">
        <v>594</v>
      </c>
      <c r="G14" t="str">
        <f>IF(F14="","",F14*Parameters!$B$1)</f>
        <v/>
      </c>
    </row>
    <row r="15" spans="1:10">
      <c r="A15" t="s">
        <v>593</v>
      </c>
      <c r="B15" t="s">
        <v>605</v>
      </c>
      <c r="E15" t="s">
        <v>594</v>
      </c>
      <c r="G15" t="str">
        <f>IF(F15="","",F15*Parameters!$B$1)</f>
        <v/>
      </c>
    </row>
    <row r="16" spans="1:10">
      <c r="A16" t="s">
        <v>593</v>
      </c>
      <c r="B16" t="s">
        <v>606</v>
      </c>
      <c r="E16" t="s">
        <v>594</v>
      </c>
      <c r="F16" s="2">
        <v>3939700</v>
      </c>
      <c r="G16">
        <f>IF(F16="","",F16*Parameters!$B$1)</f>
        <v>827337</v>
      </c>
    </row>
    <row r="17" spans="1:7">
      <c r="A17" t="s">
        <v>593</v>
      </c>
      <c r="B17" t="s">
        <v>607</v>
      </c>
      <c r="E17" t="s">
        <v>594</v>
      </c>
      <c r="F17" s="2">
        <v>3939700</v>
      </c>
      <c r="G17">
        <f>IF(F17="","",F17*Parameters!$B$1)</f>
        <v>827337</v>
      </c>
    </row>
    <row r="18" spans="1:7" ht="30.75">
      <c r="A18" t="s">
        <v>593</v>
      </c>
      <c r="B18" s="1" t="s">
        <v>608</v>
      </c>
      <c r="E18" t="s">
        <v>594</v>
      </c>
      <c r="G18" t="str">
        <f>IF(F18="","",F18*Parameters!$B$1)</f>
        <v/>
      </c>
    </row>
    <row r="19" spans="1:7">
      <c r="A19" t="s">
        <v>593</v>
      </c>
      <c r="B19" t="s">
        <v>609</v>
      </c>
      <c r="E19" t="s">
        <v>594</v>
      </c>
      <c r="F19" s="2">
        <v>4578700</v>
      </c>
      <c r="G19">
        <f>IF(F19="","",F19*Parameters!$B$1)</f>
        <v>961527</v>
      </c>
    </row>
    <row r="20" spans="1:7">
      <c r="A20" t="s">
        <v>593</v>
      </c>
      <c r="B20" t="s">
        <v>610</v>
      </c>
      <c r="E20" t="s">
        <v>594</v>
      </c>
      <c r="F20" s="2">
        <v>4578700</v>
      </c>
      <c r="G20">
        <f>IF(F20="","",F20*Parameters!$B$1)</f>
        <v>961527</v>
      </c>
    </row>
    <row r="21" spans="1:7">
      <c r="A21" t="s">
        <v>593</v>
      </c>
      <c r="B21" t="s">
        <v>611</v>
      </c>
      <c r="E21" t="s">
        <v>594</v>
      </c>
      <c r="F21" s="2">
        <v>4578700</v>
      </c>
      <c r="G21">
        <f>IF(F21="","",F21*Parameters!$B$1)</f>
        <v>961527</v>
      </c>
    </row>
    <row r="22" spans="1:7">
      <c r="A22" t="s">
        <v>593</v>
      </c>
      <c r="B22" t="s">
        <v>612</v>
      </c>
      <c r="E22" t="s">
        <v>594</v>
      </c>
      <c r="F22" s="2">
        <v>4578700</v>
      </c>
      <c r="G22">
        <f>IF(F22="","",F22*Parameters!$B$1)</f>
        <v>961527</v>
      </c>
    </row>
    <row r="23" spans="1:7">
      <c r="A23" t="s">
        <v>593</v>
      </c>
      <c r="B23" t="s">
        <v>613</v>
      </c>
      <c r="E23" t="s">
        <v>594</v>
      </c>
      <c r="F23" s="2">
        <v>5094200</v>
      </c>
    </row>
    <row r="24" spans="1:7">
      <c r="A24" t="s">
        <v>593</v>
      </c>
      <c r="B24" t="s">
        <v>614</v>
      </c>
      <c r="E24" t="s">
        <v>594</v>
      </c>
      <c r="F24" s="2">
        <v>4578700</v>
      </c>
      <c r="G24">
        <f>IF(F24="","",F24*Parameters!$B$1)</f>
        <v>961527</v>
      </c>
    </row>
    <row r="25" spans="1:7">
      <c r="A25" t="s">
        <v>593</v>
      </c>
      <c r="B25" t="s">
        <v>615</v>
      </c>
      <c r="E25" t="s">
        <v>594</v>
      </c>
      <c r="F25" s="2">
        <v>3939700</v>
      </c>
      <c r="G25">
        <f>IF(F25="","",F25*Parameters!$B$1)</f>
        <v>827337</v>
      </c>
    </row>
    <row r="26" spans="1:7">
      <c r="A26" t="s">
        <v>593</v>
      </c>
      <c r="B26" t="s">
        <v>616</v>
      </c>
      <c r="E26" t="s">
        <v>594</v>
      </c>
      <c r="F26" s="2">
        <v>4039700</v>
      </c>
      <c r="G26">
        <f>IF(F26="","",F26*Parameters!$B$1)</f>
        <v>848337</v>
      </c>
    </row>
    <row r="27" spans="1:7" ht="16.5">
      <c r="A27" t="s">
        <v>593</v>
      </c>
      <c r="B27" s="15" t="s">
        <v>617</v>
      </c>
      <c r="E27" t="s">
        <v>594</v>
      </c>
      <c r="G27" t="str">
        <f>IF(F27="","",F27*Parameters!$B$1)</f>
        <v/>
      </c>
    </row>
    <row r="28" spans="1:7">
      <c r="A28" t="s">
        <v>593</v>
      </c>
      <c r="B28" t="s">
        <v>618</v>
      </c>
      <c r="E28" t="s">
        <v>594</v>
      </c>
      <c r="F28" s="2">
        <v>3939700</v>
      </c>
      <c r="G28">
        <f>IF(F28="","",F28*Parameters!$B$1)</f>
        <v>827337</v>
      </c>
    </row>
    <row r="29" spans="1:7">
      <c r="A29" t="s">
        <v>593</v>
      </c>
      <c r="B29" s="17" t="s">
        <v>619</v>
      </c>
      <c r="E29" t="s">
        <v>594</v>
      </c>
      <c r="G29" t="str">
        <f>IF(F29="","",F29*Parameters!$B$1)</f>
        <v/>
      </c>
    </row>
    <row r="30" spans="1:7">
      <c r="A30" t="s">
        <v>593</v>
      </c>
      <c r="B30" s="17" t="s">
        <v>620</v>
      </c>
      <c r="E30" t="s">
        <v>594</v>
      </c>
      <c r="G30" t="str">
        <f>IF(F30="","",F30*Parameters!$B$1)</f>
        <v/>
      </c>
    </row>
    <row r="31" spans="1:7">
      <c r="A31" t="s">
        <v>593</v>
      </c>
      <c r="B31" s="17" t="s">
        <v>621</v>
      </c>
      <c r="E31" t="s">
        <v>594</v>
      </c>
      <c r="G31" t="str">
        <f>IF(F31="","",F31*Parameters!$B$1)</f>
        <v/>
      </c>
    </row>
    <row r="32" spans="1:7">
      <c r="A32" t="s">
        <v>593</v>
      </c>
      <c r="B32" s="17" t="s">
        <v>622</v>
      </c>
      <c r="E32" t="s">
        <v>594</v>
      </c>
      <c r="G32" t="str">
        <f>IF(F32="","",F32*Parameters!$B$1)</f>
        <v/>
      </c>
    </row>
    <row r="33" spans="1:7">
      <c r="A33" t="s">
        <v>593</v>
      </c>
      <c r="B33" s="17" t="s">
        <v>623</v>
      </c>
      <c r="E33" t="s">
        <v>594</v>
      </c>
      <c r="G33" t="str">
        <f>IF(F33="","",F33*Parameters!$B$1)</f>
        <v/>
      </c>
    </row>
    <row r="34" spans="1:7">
      <c r="A34" t="s">
        <v>593</v>
      </c>
      <c r="B34" s="17" t="s">
        <v>624</v>
      </c>
      <c r="E34" t="s">
        <v>594</v>
      </c>
      <c r="G34" t="str">
        <f>IF(F34="","",F34*Parameters!$B$1)</f>
        <v/>
      </c>
    </row>
    <row r="35" spans="1:7">
      <c r="A35" t="s">
        <v>593</v>
      </c>
      <c r="B35" s="17" t="s">
        <v>322</v>
      </c>
      <c r="E35" t="s">
        <v>594</v>
      </c>
      <c r="F35" s="2">
        <v>3939700</v>
      </c>
      <c r="G35">
        <f>IF(F35="","",F35*Parameters!$B$1)</f>
        <v>827337</v>
      </c>
    </row>
    <row r="36" spans="1:7">
      <c r="A36" t="s">
        <v>593</v>
      </c>
      <c r="B36" s="17" t="s">
        <v>625</v>
      </c>
      <c r="E36" t="s">
        <v>594</v>
      </c>
      <c r="G36" t="str">
        <f>IF(F36="","",F36*Parameters!$B$1)</f>
        <v/>
      </c>
    </row>
    <row r="37" spans="1:7">
      <c r="A37" t="s">
        <v>593</v>
      </c>
      <c r="B37" s="17" t="s">
        <v>465</v>
      </c>
      <c r="E37" t="s">
        <v>594</v>
      </c>
      <c r="F37" s="2">
        <v>3939700</v>
      </c>
      <c r="G37">
        <f>IF(F37="","",F37*Parameters!$B$1)</f>
        <v>827337</v>
      </c>
    </row>
    <row r="38" spans="1:7">
      <c r="A38" t="s">
        <v>593</v>
      </c>
      <c r="B38" s="17" t="s">
        <v>626</v>
      </c>
      <c r="E38" t="s">
        <v>594</v>
      </c>
      <c r="G38" t="str">
        <f>IF(F38="","",F38*Parameters!$B$1)</f>
        <v/>
      </c>
    </row>
    <row r="39" spans="1:7">
      <c r="A39" t="s">
        <v>593</v>
      </c>
      <c r="B39" s="17" t="s">
        <v>627</v>
      </c>
      <c r="E39" t="s">
        <v>594</v>
      </c>
      <c r="F39" s="2">
        <v>3939700</v>
      </c>
      <c r="G39">
        <f>IF(F39="","",F39*Parameters!$B$1)</f>
        <v>827337</v>
      </c>
    </row>
    <row r="40" spans="1:7">
      <c r="A40" t="s">
        <v>593</v>
      </c>
      <c r="B40" s="17" t="s">
        <v>628</v>
      </c>
      <c r="E40" t="s">
        <v>594</v>
      </c>
      <c r="G40" t="str">
        <f>IF(F40="","",F40*Parameters!$B$1)</f>
        <v/>
      </c>
    </row>
    <row r="41" spans="1:7">
      <c r="A41" t="s">
        <v>593</v>
      </c>
      <c r="B41" s="17" t="s">
        <v>453</v>
      </c>
      <c r="E41" t="s">
        <v>594</v>
      </c>
      <c r="F41" s="2">
        <v>3939700</v>
      </c>
      <c r="G41">
        <f>IF(F41="","",F41*Parameters!$B$1)</f>
        <v>827337</v>
      </c>
    </row>
    <row r="42" spans="1:7">
      <c r="A42" t="s">
        <v>593</v>
      </c>
      <c r="B42" s="17" t="s">
        <v>629</v>
      </c>
      <c r="E42" t="s">
        <v>594</v>
      </c>
      <c r="G42" t="str">
        <f>IF(F42="","",F42*Parameters!$B$1)</f>
        <v/>
      </c>
    </row>
    <row r="43" spans="1:7">
      <c r="A43" t="s">
        <v>593</v>
      </c>
      <c r="B43" s="17" t="s">
        <v>630</v>
      </c>
      <c r="E43" t="s">
        <v>594</v>
      </c>
      <c r="F43" s="2">
        <v>4578700</v>
      </c>
      <c r="G43">
        <f>IF(F43="","",F43*Parameters!$B$1)</f>
        <v>961527</v>
      </c>
    </row>
    <row r="44" spans="1:7">
      <c r="A44" t="s">
        <v>593</v>
      </c>
      <c r="B44" s="17" t="s">
        <v>631</v>
      </c>
      <c r="E44" t="s">
        <v>594</v>
      </c>
      <c r="G44" t="str">
        <f>IF(F44="","",F44*Parameters!$B$1)</f>
        <v/>
      </c>
    </row>
    <row r="45" spans="1:7">
      <c r="A45" t="s">
        <v>593</v>
      </c>
      <c r="B45" s="17" t="s">
        <v>632</v>
      </c>
      <c r="E45" t="s">
        <v>594</v>
      </c>
      <c r="F45" s="2">
        <v>4578700</v>
      </c>
    </row>
    <row r="46" spans="1:7">
      <c r="A46" t="s">
        <v>593</v>
      </c>
      <c r="B46" s="17" t="s">
        <v>633</v>
      </c>
      <c r="E46" t="s">
        <v>594</v>
      </c>
      <c r="G46" t="str">
        <f>IF(F46="","",F46*Parameters!$B$1)</f>
        <v/>
      </c>
    </row>
    <row r="47" spans="1:7">
      <c r="A47" t="s">
        <v>593</v>
      </c>
      <c r="B47" s="17" t="s">
        <v>634</v>
      </c>
      <c r="E47" t="s">
        <v>594</v>
      </c>
      <c r="G47" t="str">
        <f>IF(F47="","",F47*Parameters!$B$1)</f>
        <v/>
      </c>
    </row>
    <row r="48" spans="1:7" ht="30.75">
      <c r="A48" t="s">
        <v>593</v>
      </c>
      <c r="B48" s="17" t="s">
        <v>635</v>
      </c>
      <c r="E48" t="s">
        <v>594</v>
      </c>
      <c r="F48" s="2">
        <v>3939700</v>
      </c>
      <c r="G48">
        <f>IF(F48="","",F48*Parameters!$B$1)</f>
        <v>827337</v>
      </c>
    </row>
    <row r="49" spans="1:7">
      <c r="A49" t="s">
        <v>593</v>
      </c>
      <c r="B49" s="17" t="s">
        <v>270</v>
      </c>
      <c r="E49" t="s">
        <v>594</v>
      </c>
      <c r="F49" s="2"/>
      <c r="G49" t="str">
        <f>IF(F49="","",F49*Parameters!$B$1)</f>
        <v/>
      </c>
    </row>
    <row r="50" spans="1:7" ht="30.75">
      <c r="A50" t="s">
        <v>593</v>
      </c>
      <c r="B50" s="17" t="s">
        <v>636</v>
      </c>
      <c r="E50" t="s">
        <v>594</v>
      </c>
      <c r="G50" t="str">
        <f>IF(F50="","",F50*Parameters!$B$1)</f>
        <v/>
      </c>
    </row>
    <row r="51" spans="1:7">
      <c r="A51" t="s">
        <v>593</v>
      </c>
      <c r="B51" s="17" t="s">
        <v>637</v>
      </c>
      <c r="E51" t="s">
        <v>594</v>
      </c>
      <c r="F51" s="2">
        <v>3939700</v>
      </c>
      <c r="G51">
        <f>IF(F51="","",F51*Parameters!$B$1)</f>
        <v>827337</v>
      </c>
    </row>
    <row r="52" spans="1:7">
      <c r="A52" t="s">
        <v>593</v>
      </c>
      <c r="B52" s="20" t="s">
        <v>178</v>
      </c>
      <c r="F52" s="2"/>
    </row>
    <row r="53" spans="1:7">
      <c r="A53" t="s">
        <v>593</v>
      </c>
      <c r="B53" s="20" t="s">
        <v>638</v>
      </c>
      <c r="F53" s="2">
        <v>4318000</v>
      </c>
      <c r="G53">
        <f>IF(F53="","",F53*Parameters!$B$1)</f>
        <v>906780</v>
      </c>
    </row>
    <row r="54" spans="1:7">
      <c r="A54" t="s">
        <v>593</v>
      </c>
      <c r="B54" s="20" t="s">
        <v>639</v>
      </c>
      <c r="F54" s="2"/>
    </row>
    <row r="55" spans="1:7">
      <c r="A55" t="s">
        <v>593</v>
      </c>
      <c r="B55" s="17" t="s">
        <v>640</v>
      </c>
      <c r="E55" t="s">
        <v>641</v>
      </c>
      <c r="F55" s="2">
        <v>4318000</v>
      </c>
      <c r="G55">
        <f>IF(F55="","",F55*Parameters!$B$1)</f>
        <v>906780</v>
      </c>
    </row>
    <row r="56" spans="1:7">
      <c r="A56" t="s">
        <v>593</v>
      </c>
      <c r="B56" s="17" t="s">
        <v>453</v>
      </c>
      <c r="E56" t="s">
        <v>641</v>
      </c>
      <c r="F56" s="2">
        <v>6041000</v>
      </c>
      <c r="G56">
        <f>IF(F56="","",F56*Parameters!$B$1)</f>
        <v>1268610</v>
      </c>
    </row>
    <row r="57" spans="1:7">
      <c r="A57" t="s">
        <v>593</v>
      </c>
      <c r="B57" s="17" t="s">
        <v>642</v>
      </c>
      <c r="E57" t="s">
        <v>641</v>
      </c>
      <c r="G57" t="str">
        <f>IF(F57="","",F57*Parameters!$B$1)</f>
        <v/>
      </c>
    </row>
    <row r="58" spans="1:7" ht="30.75">
      <c r="A58" t="s">
        <v>593</v>
      </c>
      <c r="B58" s="17" t="s">
        <v>643</v>
      </c>
      <c r="E58" t="s">
        <v>641</v>
      </c>
      <c r="F58" s="2">
        <v>4318000</v>
      </c>
      <c r="G58">
        <f>IF(F58="","",F58*Parameters!$B$1)</f>
        <v>906780</v>
      </c>
    </row>
    <row r="59" spans="1:7">
      <c r="A59" t="s">
        <v>593</v>
      </c>
      <c r="B59" s="17" t="s">
        <v>638</v>
      </c>
      <c r="E59" t="s">
        <v>641</v>
      </c>
      <c r="G59" t="str">
        <f>IF(F59="","",F59*Parameters!$B$1)</f>
        <v/>
      </c>
    </row>
    <row r="60" spans="1:7">
      <c r="A60" t="s">
        <v>593</v>
      </c>
      <c r="B60" s="17" t="s">
        <v>41</v>
      </c>
      <c r="E60" t="s">
        <v>641</v>
      </c>
      <c r="F60" s="2">
        <v>4318000</v>
      </c>
      <c r="G60">
        <f>IF(F60="","",F60*Parameters!$B$1)</f>
        <v>906780</v>
      </c>
    </row>
    <row r="61" spans="1:7">
      <c r="A61" t="s">
        <v>593</v>
      </c>
      <c r="B61" s="17" t="s">
        <v>194</v>
      </c>
      <c r="E61" t="s">
        <v>641</v>
      </c>
      <c r="G61" t="str">
        <f>IF(F61="","",F61*Parameters!$B$1)</f>
        <v/>
      </c>
    </row>
    <row r="62" spans="1:7">
      <c r="A62" t="s">
        <v>593</v>
      </c>
      <c r="B62" s="17" t="s">
        <v>644</v>
      </c>
      <c r="E62" t="s">
        <v>641</v>
      </c>
      <c r="F62" s="2">
        <v>5177500</v>
      </c>
      <c r="G62">
        <f>IF(F62="","",F62*Parameters!$B$1)</f>
        <v>1087275</v>
      </c>
    </row>
    <row r="63" spans="1:7">
      <c r="A63" t="s">
        <v>593</v>
      </c>
      <c r="B63" s="17" t="s">
        <v>645</v>
      </c>
      <c r="E63" t="s">
        <v>641</v>
      </c>
      <c r="F63" s="2">
        <v>5177500</v>
      </c>
      <c r="G63">
        <f>IF(F63="","",F63*Parameters!$B$1)</f>
        <v>1087275</v>
      </c>
    </row>
    <row r="64" spans="1:7">
      <c r="A64" t="s">
        <v>593</v>
      </c>
      <c r="B64" s="17" t="s">
        <v>422</v>
      </c>
      <c r="E64" t="s">
        <v>641</v>
      </c>
      <c r="F64" s="2">
        <v>6041000</v>
      </c>
      <c r="G64">
        <f>IF(F64="","",F64*Parameters!$B$1)</f>
        <v>1268610</v>
      </c>
    </row>
    <row r="65" spans="1:10">
      <c r="A65" t="s">
        <v>593</v>
      </c>
      <c r="B65" s="17" t="s">
        <v>646</v>
      </c>
      <c r="E65" t="s">
        <v>641</v>
      </c>
      <c r="G65" t="str">
        <f>IF(F65="","",F65*Parameters!$B$1)</f>
        <v/>
      </c>
    </row>
    <row r="66" spans="1:10">
      <c r="A66" t="s">
        <v>593</v>
      </c>
      <c r="B66" s="17" t="s">
        <v>38</v>
      </c>
      <c r="E66" t="s">
        <v>641</v>
      </c>
      <c r="G66" t="str">
        <f>IF(F66="","",F66*Parameters!$B$1)</f>
        <v/>
      </c>
    </row>
    <row r="67" spans="1:10">
      <c r="A67" t="s">
        <v>593</v>
      </c>
      <c r="B67" s="17" t="s">
        <v>647</v>
      </c>
      <c r="E67" t="s">
        <v>641</v>
      </c>
      <c r="F67" s="2">
        <v>6041000</v>
      </c>
      <c r="G67">
        <f>IF(F67="","",F67*Parameters!$B$1)</f>
        <v>1268610</v>
      </c>
    </row>
    <row r="68" spans="1:10">
      <c r="A68" t="s">
        <v>593</v>
      </c>
      <c r="B68" s="17" t="s">
        <v>648</v>
      </c>
      <c r="E68" t="s">
        <v>641</v>
      </c>
      <c r="F68" s="2">
        <v>6041000</v>
      </c>
      <c r="G68">
        <f>IF(F68="","",F68*Parameters!$B$1)</f>
        <v>1268610</v>
      </c>
    </row>
    <row r="69" spans="1:10">
      <c r="A69" t="s">
        <v>593</v>
      </c>
      <c r="B69" s="17" t="s">
        <v>596</v>
      </c>
      <c r="E69" t="s">
        <v>641</v>
      </c>
      <c r="G69" t="str">
        <f>IF(F69="","",F69*Parameters!$B$1)</f>
        <v/>
      </c>
    </row>
    <row r="70" spans="1:10">
      <c r="A70" t="s">
        <v>593</v>
      </c>
      <c r="B70" s="17" t="s">
        <v>649</v>
      </c>
      <c r="E70" t="s">
        <v>641</v>
      </c>
      <c r="G70" t="str">
        <f>IF(F70="","",F70*Parameters!$B$1)</f>
        <v/>
      </c>
    </row>
    <row r="71" spans="1:10">
      <c r="A71" t="s">
        <v>593</v>
      </c>
      <c r="B71" s="17" t="s">
        <v>650</v>
      </c>
      <c r="E71" t="s">
        <v>641</v>
      </c>
      <c r="F71" s="21">
        <v>6041000</v>
      </c>
      <c r="G71" s="18">
        <v>1268610</v>
      </c>
    </row>
    <row r="72" spans="1:10">
      <c r="A72" s="18" t="s">
        <v>593</v>
      </c>
      <c r="B72" s="19" t="s">
        <v>607</v>
      </c>
      <c r="C72" s="18"/>
      <c r="D72" s="18"/>
      <c r="E72" s="18" t="s">
        <v>641</v>
      </c>
      <c r="F72" s="21">
        <v>6041000</v>
      </c>
      <c r="G72" s="18">
        <v>1268610</v>
      </c>
      <c r="H72" s="18"/>
      <c r="I72" s="18"/>
      <c r="J72" s="18"/>
    </row>
    <row r="73" spans="1:10">
      <c r="A73" t="s">
        <v>593</v>
      </c>
      <c r="B73" s="17" t="s">
        <v>651</v>
      </c>
      <c r="E73" t="s">
        <v>641</v>
      </c>
      <c r="F73" s="2">
        <v>6041000</v>
      </c>
      <c r="G73">
        <f>IF(F73="","",F73*Parameters!$B$1)</f>
        <v>1268610</v>
      </c>
    </row>
    <row r="74" spans="1:10">
      <c r="A74" t="s">
        <v>593</v>
      </c>
      <c r="B74" s="17" t="s">
        <v>652</v>
      </c>
      <c r="E74" t="s">
        <v>641</v>
      </c>
      <c r="G74" t="str">
        <f>IF(F74="","",F74*Parameters!$B$1)</f>
        <v/>
      </c>
    </row>
    <row r="75" spans="1:10">
      <c r="A75" t="s">
        <v>593</v>
      </c>
      <c r="B75" s="17" t="s">
        <v>653</v>
      </c>
      <c r="E75" t="s">
        <v>641</v>
      </c>
      <c r="G75" t="str">
        <f>IF(F75="","",F75*Parameters!$B$1)</f>
        <v/>
      </c>
    </row>
    <row r="76" spans="1:10">
      <c r="A76" t="s">
        <v>593</v>
      </c>
      <c r="B76" s="17" t="s">
        <v>601</v>
      </c>
      <c r="E76" t="s">
        <v>641</v>
      </c>
      <c r="F76" s="2">
        <v>4318000</v>
      </c>
      <c r="G76">
        <f>IF(F76="","",F76*Parameters!$B$1)</f>
        <v>906780</v>
      </c>
    </row>
    <row r="77" spans="1:10">
      <c r="A77" t="s">
        <v>593</v>
      </c>
      <c r="B77" s="17" t="s">
        <v>429</v>
      </c>
      <c r="E77" t="s">
        <v>641</v>
      </c>
      <c r="F77" s="2">
        <v>5177500</v>
      </c>
      <c r="G77">
        <f>IF(F77="","",F77*Parameters!$B$1)</f>
        <v>1087275</v>
      </c>
    </row>
    <row r="78" spans="1:10">
      <c r="A78" t="s">
        <v>593</v>
      </c>
      <c r="B78" s="17" t="s">
        <v>179</v>
      </c>
      <c r="E78" t="s">
        <v>641</v>
      </c>
      <c r="F78" s="2">
        <v>4318000</v>
      </c>
      <c r="G78">
        <f>IF(F78="","",F78*Parameters!$B$1)</f>
        <v>906780</v>
      </c>
    </row>
    <row r="79" spans="1:10">
      <c r="A79" s="18" t="s">
        <v>593</v>
      </c>
      <c r="B79" s="18" t="s">
        <v>228</v>
      </c>
      <c r="C79" s="18"/>
      <c r="D79" s="18"/>
      <c r="E79" t="s">
        <v>641</v>
      </c>
      <c r="F79" s="21">
        <v>6041000</v>
      </c>
      <c r="G79" s="18">
        <v>1268610</v>
      </c>
      <c r="H79" s="18"/>
      <c r="I79" s="18"/>
      <c r="J79" s="18"/>
    </row>
    <row r="80" spans="1:10">
      <c r="A80" t="s">
        <v>593</v>
      </c>
      <c r="B80" s="17" t="s">
        <v>191</v>
      </c>
      <c r="E80" t="s">
        <v>641</v>
      </c>
      <c r="G80" t="str">
        <f>IF(F80="","",F80*Parameters!$B$1)</f>
        <v/>
      </c>
    </row>
    <row r="81" spans="1:7">
      <c r="A81" t="s">
        <v>593</v>
      </c>
      <c r="B81" s="17" t="s">
        <v>197</v>
      </c>
      <c r="E81" t="s">
        <v>641</v>
      </c>
      <c r="G81" t="str">
        <f>IF(F81="","",F81*Parameters!$B$1)</f>
        <v/>
      </c>
    </row>
    <row r="82" spans="1:7">
      <c r="A82" t="s">
        <v>593</v>
      </c>
      <c r="B82" s="17" t="s">
        <v>375</v>
      </c>
      <c r="E82" t="s">
        <v>641</v>
      </c>
      <c r="F82" s="2">
        <v>4318000</v>
      </c>
      <c r="G82">
        <f>IF(F82="","",F82*Parameters!$B$1)</f>
        <v>906780</v>
      </c>
    </row>
    <row r="83" spans="1:7">
      <c r="A83" t="s">
        <v>593</v>
      </c>
      <c r="B83" s="17" t="s">
        <v>638</v>
      </c>
      <c r="E83" t="s">
        <v>641</v>
      </c>
      <c r="G83" t="str">
        <f>IF(F83="","",F83*Parameters!$B$1)</f>
        <v/>
      </c>
    </row>
    <row r="84" spans="1:7">
      <c r="A84" t="s">
        <v>593</v>
      </c>
      <c r="B84" s="17" t="s">
        <v>287</v>
      </c>
      <c r="E84" t="s">
        <v>641</v>
      </c>
      <c r="F84" s="2">
        <v>5177500</v>
      </c>
      <c r="G84">
        <f>IF(F84="","",F84*Parameters!$B$1)</f>
        <v>1087275</v>
      </c>
    </row>
    <row r="85" spans="1:7">
      <c r="A85" t="s">
        <v>593</v>
      </c>
      <c r="B85" s="17" t="s">
        <v>321</v>
      </c>
      <c r="E85" t="s">
        <v>641</v>
      </c>
      <c r="G85" t="str">
        <f>IF(F85="","",F85*Parameters!$B$1)</f>
        <v/>
      </c>
    </row>
    <row r="86" spans="1:7" ht="30.75">
      <c r="A86" t="s">
        <v>593</v>
      </c>
      <c r="B86" s="17" t="s">
        <v>654</v>
      </c>
      <c r="E86" t="s">
        <v>641</v>
      </c>
      <c r="F86" s="2">
        <v>6041000</v>
      </c>
      <c r="G86">
        <f>IF(F86="","",F86*Parameters!$B$1)</f>
        <v>1268610</v>
      </c>
    </row>
    <row r="87" spans="1:7">
      <c r="A87" t="s">
        <v>593</v>
      </c>
      <c r="B87" s="17" t="s">
        <v>544</v>
      </c>
      <c r="E87" t="s">
        <v>641</v>
      </c>
      <c r="G87" t="str">
        <f>IF(F87="","",F87*Parameters!$B$1)</f>
        <v/>
      </c>
    </row>
    <row r="88" spans="1:7">
      <c r="A88" t="s">
        <v>593</v>
      </c>
      <c r="B88" s="17" t="s">
        <v>655</v>
      </c>
      <c r="E88" t="s">
        <v>641</v>
      </c>
      <c r="G88" t="str">
        <f>IF(F88="","",F88*Parameters!$B$1)</f>
        <v/>
      </c>
    </row>
    <row r="89" spans="1:7">
      <c r="A89" t="s">
        <v>593</v>
      </c>
      <c r="B89" s="17" t="s">
        <v>656</v>
      </c>
      <c r="E89" t="s">
        <v>641</v>
      </c>
      <c r="G89" t="str">
        <f>IF(F89="","",F89*Parameters!$B$1)</f>
        <v/>
      </c>
    </row>
    <row r="90" spans="1:7">
      <c r="A90" t="s">
        <v>593</v>
      </c>
      <c r="B90" s="17" t="s">
        <v>657</v>
      </c>
      <c r="E90" t="s">
        <v>641</v>
      </c>
      <c r="F90" s="2">
        <v>4318000</v>
      </c>
      <c r="G90">
        <f>IF(F90="","",F90*Parameters!$B$1)</f>
        <v>906780</v>
      </c>
    </row>
    <row r="91" spans="1:7">
      <c r="A91" t="s">
        <v>593</v>
      </c>
      <c r="B91" s="17" t="s">
        <v>376</v>
      </c>
      <c r="E91" t="s">
        <v>641</v>
      </c>
      <c r="G91" t="str">
        <f>IF(F91="","",F91*Parameters!$B$1)</f>
        <v/>
      </c>
    </row>
    <row r="92" spans="1:7">
      <c r="A92" t="s">
        <v>593</v>
      </c>
      <c r="B92" s="17" t="s">
        <v>658</v>
      </c>
      <c r="E92" t="s">
        <v>641</v>
      </c>
      <c r="G92" t="str">
        <f>IF(F92="","",F92*Parameters!$B$1)</f>
        <v/>
      </c>
    </row>
    <row r="93" spans="1:7">
      <c r="A93" t="s">
        <v>593</v>
      </c>
      <c r="B93" s="17" t="s">
        <v>659</v>
      </c>
      <c r="E93" t="s">
        <v>641</v>
      </c>
      <c r="F93" s="2">
        <v>5177500</v>
      </c>
      <c r="G93">
        <f>IF(F93="","",F93*Parameters!$B$1)</f>
        <v>1087275</v>
      </c>
    </row>
    <row r="94" spans="1:7">
      <c r="A94" t="s">
        <v>593</v>
      </c>
      <c r="B94" s="17" t="s">
        <v>660</v>
      </c>
      <c r="E94" t="s">
        <v>641</v>
      </c>
      <c r="G94" t="str">
        <f>IF(F94="","",F94*Parameters!$B$1)</f>
        <v/>
      </c>
    </row>
    <row r="95" spans="1:7">
      <c r="A95" t="s">
        <v>593</v>
      </c>
      <c r="B95" s="17" t="s">
        <v>661</v>
      </c>
      <c r="E95" t="s">
        <v>641</v>
      </c>
      <c r="F95" s="2">
        <v>4318000</v>
      </c>
      <c r="G95">
        <f>IF(F95="","",F95*Parameters!$B$1)</f>
        <v>906780</v>
      </c>
    </row>
    <row r="96" spans="1:7">
      <c r="A96" t="s">
        <v>593</v>
      </c>
      <c r="B96" s="17" t="s">
        <v>662</v>
      </c>
      <c r="E96" t="s">
        <v>641</v>
      </c>
      <c r="G96" t="str">
        <f>IF(F96="","",F96*Parameters!$B$1)</f>
        <v/>
      </c>
    </row>
    <row r="97" spans="1:10">
      <c r="A97" t="s">
        <v>593</v>
      </c>
      <c r="B97" s="17" t="s">
        <v>663</v>
      </c>
      <c r="E97" t="s">
        <v>641</v>
      </c>
      <c r="F97" s="2">
        <v>4318000</v>
      </c>
      <c r="G97">
        <f>IF(F97="","",F97*Parameters!$B$1)</f>
        <v>906780</v>
      </c>
    </row>
    <row r="98" spans="1:10">
      <c r="A98" s="18" t="s">
        <v>593</v>
      </c>
      <c r="B98" s="19" t="s">
        <v>664</v>
      </c>
      <c r="C98" s="18"/>
      <c r="D98" s="18"/>
      <c r="E98" t="s">
        <v>641</v>
      </c>
      <c r="F98" s="2">
        <v>4318000</v>
      </c>
      <c r="G98">
        <f>IF(F98="","",F98*Parameters!$B$1)</f>
        <v>906780</v>
      </c>
      <c r="H98" s="18"/>
      <c r="I98" s="18"/>
      <c r="J98" s="18"/>
    </row>
    <row r="99" spans="1:10">
      <c r="A99" t="s">
        <v>593</v>
      </c>
      <c r="B99" s="17" t="s">
        <v>665</v>
      </c>
      <c r="E99" t="s">
        <v>641</v>
      </c>
      <c r="G99" t="str">
        <f>IF(F99="","",F99*Parameters!$B$1)</f>
        <v/>
      </c>
    </row>
    <row r="100" spans="1:10" ht="30.75">
      <c r="A100" t="s">
        <v>593</v>
      </c>
      <c r="B100" s="17" t="s">
        <v>666</v>
      </c>
      <c r="E100" t="s">
        <v>641</v>
      </c>
      <c r="F100" s="2">
        <v>4318000</v>
      </c>
      <c r="G100">
        <f>IF(F100="","",F100*Parameters!$B$1)</f>
        <v>906780</v>
      </c>
    </row>
    <row r="101" spans="1:10" ht="30.75">
      <c r="A101" t="s">
        <v>593</v>
      </c>
      <c r="B101" s="17" t="s">
        <v>667</v>
      </c>
      <c r="E101" t="s">
        <v>641</v>
      </c>
      <c r="F101" s="2">
        <v>5177500</v>
      </c>
      <c r="G101">
        <v>1087275</v>
      </c>
    </row>
    <row r="102" spans="1:10">
      <c r="A102" t="s">
        <v>593</v>
      </c>
      <c r="B102" s="17" t="s">
        <v>56</v>
      </c>
      <c r="E102" t="s">
        <v>641</v>
      </c>
      <c r="F102" s="2">
        <v>4318000</v>
      </c>
      <c r="G102">
        <f>IF(F102="","",F102*Parameters!$B$1)</f>
        <v>906780</v>
      </c>
    </row>
    <row r="103" spans="1:10">
      <c r="A103" t="s">
        <v>593</v>
      </c>
      <c r="B103" s="17" t="s">
        <v>668</v>
      </c>
      <c r="E103" t="s">
        <v>641</v>
      </c>
      <c r="G103" t="str">
        <f>IF(F103="","",F103*Parameters!$B$1)</f>
        <v/>
      </c>
    </row>
    <row r="104" spans="1:10">
      <c r="A104" t="s">
        <v>593</v>
      </c>
      <c r="B104" s="17" t="s">
        <v>669</v>
      </c>
      <c r="E104" t="s">
        <v>641</v>
      </c>
      <c r="G104" t="str">
        <f>IF(F104="","",F104*Parameters!$B$1)</f>
        <v/>
      </c>
    </row>
    <row r="105" spans="1:10">
      <c r="A105" t="s">
        <v>593</v>
      </c>
      <c r="B105" s="17" t="s">
        <v>670</v>
      </c>
      <c r="E105" t="s">
        <v>641</v>
      </c>
      <c r="F105" s="2">
        <v>4318000</v>
      </c>
      <c r="G105">
        <f>IF(F105="","",F105*Parameters!$B$1)</f>
        <v>906780</v>
      </c>
    </row>
    <row r="106" spans="1:10" ht="30.75">
      <c r="A106" t="s">
        <v>593</v>
      </c>
      <c r="B106" s="17" t="s">
        <v>671</v>
      </c>
      <c r="E106" t="s">
        <v>641</v>
      </c>
      <c r="F106" s="2">
        <v>4318000</v>
      </c>
      <c r="G106">
        <f>IF(F106="","",F106*Parameters!$B$1)</f>
        <v>906780</v>
      </c>
    </row>
    <row r="107" spans="1:10" ht="30.75">
      <c r="A107" t="s">
        <v>593</v>
      </c>
      <c r="B107" s="17" t="s">
        <v>672</v>
      </c>
      <c r="E107" t="s">
        <v>641</v>
      </c>
      <c r="G107" t="str">
        <f>IF(F107="","",F107*Parameters!$B$1)</f>
        <v/>
      </c>
    </row>
    <row r="108" spans="1:10">
      <c r="A108" t="s">
        <v>593</v>
      </c>
      <c r="B108" s="17" t="s">
        <v>673</v>
      </c>
      <c r="E108" t="s">
        <v>641</v>
      </c>
      <c r="F108" s="2">
        <v>6041000</v>
      </c>
      <c r="G108">
        <f>IF(F108="","",F108*Parameters!$B$1)</f>
        <v>1268610</v>
      </c>
    </row>
    <row r="109" spans="1:10">
      <c r="A109" t="s">
        <v>593</v>
      </c>
      <c r="B109" s="17" t="s">
        <v>674</v>
      </c>
      <c r="E109" t="s">
        <v>641</v>
      </c>
      <c r="G109" t="str">
        <f>IF(F109="","",F109*Parameters!$B$1)</f>
        <v/>
      </c>
    </row>
    <row r="110" spans="1:10">
      <c r="A110" t="s">
        <v>593</v>
      </c>
      <c r="B110" s="17" t="s">
        <v>675</v>
      </c>
      <c r="E110" t="s">
        <v>641</v>
      </c>
      <c r="F110" s="2"/>
      <c r="G110" t="str">
        <f>IF(F110="","",F110*Parameters!$B$1)</f>
        <v/>
      </c>
    </row>
    <row r="111" spans="1:10">
      <c r="A111" t="s">
        <v>593</v>
      </c>
      <c r="B111" s="17" t="s">
        <v>676</v>
      </c>
      <c r="E111" t="s">
        <v>641</v>
      </c>
      <c r="F111" s="2">
        <v>4318000</v>
      </c>
      <c r="G111">
        <f>IF(F111="","",F111*Parameters!$B$1)</f>
        <v>906780</v>
      </c>
    </row>
    <row r="112" spans="1:10" ht="30.75">
      <c r="A112" t="s">
        <v>593</v>
      </c>
      <c r="B112" s="17" t="s">
        <v>677</v>
      </c>
      <c r="E112" t="s">
        <v>641</v>
      </c>
      <c r="F112" s="2">
        <v>6041000</v>
      </c>
      <c r="G112">
        <f>IF(F112="","",F112*Parameters!$B$1)</f>
        <v>1268610</v>
      </c>
    </row>
    <row r="113" spans="1:7">
      <c r="A113" t="s">
        <v>593</v>
      </c>
      <c r="B113" s="17" t="s">
        <v>678</v>
      </c>
      <c r="E113" t="s">
        <v>641</v>
      </c>
      <c r="G113" t="str">
        <f>IF(F113="","",F113*Parameters!$B$1)</f>
        <v/>
      </c>
    </row>
    <row r="114" spans="1:7">
      <c r="A114" t="s">
        <v>593</v>
      </c>
      <c r="B114" s="17" t="s">
        <v>679</v>
      </c>
      <c r="E114" t="s">
        <v>641</v>
      </c>
      <c r="G114" t="str">
        <f>IF(F114="","",F114*Parameters!$B$1)</f>
        <v/>
      </c>
    </row>
    <row r="115" spans="1:7">
      <c r="A115" t="s">
        <v>593</v>
      </c>
      <c r="B115" s="17" t="s">
        <v>178</v>
      </c>
      <c r="E115" t="s">
        <v>680</v>
      </c>
      <c r="F115" s="2">
        <v>4833000</v>
      </c>
      <c r="G115">
        <f>IF(F115="","",F115*Parameters!$B$1)</f>
        <v>1014930</v>
      </c>
    </row>
    <row r="116" spans="1:7">
      <c r="A116" t="s">
        <v>593</v>
      </c>
      <c r="B116" s="17" t="s">
        <v>597</v>
      </c>
      <c r="E116" t="s">
        <v>680</v>
      </c>
      <c r="F116" s="2">
        <v>4833000</v>
      </c>
      <c r="G116">
        <f>IF(F116="","",F116*Parameters!$B$1)</f>
        <v>1014930</v>
      </c>
    </row>
    <row r="117" spans="1:7">
      <c r="A117" t="s">
        <v>593</v>
      </c>
      <c r="B117" s="17" t="s">
        <v>638</v>
      </c>
      <c r="E117" t="s">
        <v>680</v>
      </c>
      <c r="F117" s="2">
        <v>4833000</v>
      </c>
      <c r="G117">
        <f>IF(F117="","",F117*Parameters!$B$1)</f>
        <v>1014930</v>
      </c>
    </row>
    <row r="118" spans="1:7" ht="16.5">
      <c r="A118" t="s">
        <v>593</v>
      </c>
      <c r="B118" s="15" t="s">
        <v>681</v>
      </c>
      <c r="E118" t="s">
        <v>680</v>
      </c>
      <c r="G118" t="str">
        <f>IF(F118="","",F118*Parameters!$B$1)</f>
        <v/>
      </c>
    </row>
    <row r="119" spans="1:7">
      <c r="A119" t="s">
        <v>593</v>
      </c>
      <c r="B119" t="s">
        <v>682</v>
      </c>
      <c r="E119" t="s">
        <v>680</v>
      </c>
      <c r="F119" s="2">
        <v>4833000</v>
      </c>
      <c r="G119">
        <f>IF(F119="","",F119*Parameters!$B$1)</f>
        <v>1014930</v>
      </c>
    </row>
    <row r="120" spans="1:7">
      <c r="A120" t="s">
        <v>593</v>
      </c>
      <c r="B120" t="s">
        <v>683</v>
      </c>
      <c r="E120" t="s">
        <v>680</v>
      </c>
    </row>
    <row r="121" spans="1:7">
      <c r="A121" t="s">
        <v>593</v>
      </c>
      <c r="B121" t="s">
        <v>684</v>
      </c>
      <c r="E121" t="s">
        <v>680</v>
      </c>
    </row>
    <row r="122" spans="1:7">
      <c r="A122" t="s">
        <v>593</v>
      </c>
      <c r="B122" t="s">
        <v>228</v>
      </c>
      <c r="E122" t="s">
        <v>680</v>
      </c>
      <c r="F122" s="2">
        <v>6584000</v>
      </c>
      <c r="G122">
        <f>IF(F122="","",F122*Parameters!$B$1)</f>
        <v>1382640</v>
      </c>
    </row>
    <row r="123" spans="1:7">
      <c r="A123" t="s">
        <v>593</v>
      </c>
      <c r="B123" t="s">
        <v>239</v>
      </c>
      <c r="E123" t="s">
        <v>680</v>
      </c>
    </row>
    <row r="124" spans="1:7">
      <c r="A124" t="s">
        <v>593</v>
      </c>
      <c r="B124" t="s">
        <v>685</v>
      </c>
      <c r="E124" t="s">
        <v>680</v>
      </c>
    </row>
    <row r="125" spans="1:7">
      <c r="A125" t="s">
        <v>593</v>
      </c>
      <c r="B125" t="s">
        <v>646</v>
      </c>
      <c r="E125" t="s">
        <v>680</v>
      </c>
    </row>
    <row r="126" spans="1:7">
      <c r="A126" t="s">
        <v>593</v>
      </c>
      <c r="B126" t="s">
        <v>686</v>
      </c>
      <c r="E126" t="s">
        <v>680</v>
      </c>
    </row>
    <row r="127" spans="1:7">
      <c r="A127" t="s">
        <v>593</v>
      </c>
      <c r="B127" t="s">
        <v>687</v>
      </c>
      <c r="E127" t="s">
        <v>680</v>
      </c>
    </row>
    <row r="128" spans="1:7">
      <c r="A128" t="s">
        <v>593</v>
      </c>
      <c r="B128" t="s">
        <v>649</v>
      </c>
      <c r="E128" t="s">
        <v>680</v>
      </c>
    </row>
    <row r="129" spans="1:7">
      <c r="A129" t="s">
        <v>593</v>
      </c>
      <c r="B129" t="s">
        <v>688</v>
      </c>
      <c r="E129" t="s">
        <v>680</v>
      </c>
      <c r="F129" s="2">
        <v>6584000</v>
      </c>
      <c r="G129">
        <f>IF(F129="","",F129*Parameters!$B$1)</f>
        <v>1382640</v>
      </c>
    </row>
    <row r="130" spans="1:7">
      <c r="A130" t="s">
        <v>593</v>
      </c>
      <c r="B130" t="s">
        <v>287</v>
      </c>
      <c r="E130" t="s">
        <v>680</v>
      </c>
      <c r="F130" s="2">
        <v>5863000</v>
      </c>
    </row>
    <row r="131" spans="1:7">
      <c r="A131" t="s">
        <v>593</v>
      </c>
      <c r="B131" t="s">
        <v>689</v>
      </c>
      <c r="E131" t="s">
        <v>680</v>
      </c>
    </row>
    <row r="132" spans="1:7">
      <c r="A132" t="s">
        <v>593</v>
      </c>
      <c r="B132" t="s">
        <v>429</v>
      </c>
      <c r="E132" t="s">
        <v>680</v>
      </c>
      <c r="F132" s="2">
        <v>5863000</v>
      </c>
    </row>
    <row r="133" spans="1:7">
      <c r="A133" t="s">
        <v>593</v>
      </c>
      <c r="B133" t="s">
        <v>690</v>
      </c>
      <c r="E133" t="s">
        <v>680</v>
      </c>
    </row>
    <row r="134" spans="1:7">
      <c r="A134" t="s">
        <v>593</v>
      </c>
      <c r="B134" t="s">
        <v>205</v>
      </c>
      <c r="E134" t="s">
        <v>680</v>
      </c>
    </row>
    <row r="135" spans="1:7" ht="30.75">
      <c r="A135" t="s">
        <v>593</v>
      </c>
      <c r="B135" s="1" t="s">
        <v>691</v>
      </c>
      <c r="E135" t="s">
        <v>680</v>
      </c>
      <c r="F135" s="2">
        <v>4833000</v>
      </c>
      <c r="G135">
        <f>IF(F135="","",F135*Parameters!$B$1)</f>
        <v>1014930</v>
      </c>
    </row>
    <row r="136" spans="1:7">
      <c r="A136" t="s">
        <v>593</v>
      </c>
      <c r="B136" s="17" t="s">
        <v>670</v>
      </c>
      <c r="E136" t="s">
        <v>680</v>
      </c>
      <c r="F136" s="2">
        <v>4833000</v>
      </c>
      <c r="G136">
        <f>IF(F136="","",F136*Parameters!$B$1)</f>
        <v>1014930</v>
      </c>
    </row>
    <row r="137" spans="1:7">
      <c r="A137" t="s">
        <v>593</v>
      </c>
      <c r="B137" s="17" t="s">
        <v>601</v>
      </c>
      <c r="E137" t="s">
        <v>680</v>
      </c>
      <c r="F137" s="2">
        <v>4833000</v>
      </c>
      <c r="G137">
        <f>IF(F137="","",F137*Parameters!$B$1)</f>
        <v>1014930</v>
      </c>
    </row>
    <row r="138" spans="1:7">
      <c r="A138" t="s">
        <v>593</v>
      </c>
      <c r="B138" s="17" t="s">
        <v>664</v>
      </c>
      <c r="E138" t="s">
        <v>680</v>
      </c>
      <c r="F138" s="2">
        <v>4833000</v>
      </c>
      <c r="G138">
        <f>IF(F138="","",F138*Parameters!$B$1)</f>
        <v>1014930</v>
      </c>
    </row>
    <row r="139" spans="1:7">
      <c r="A139" t="s">
        <v>593</v>
      </c>
      <c r="B139" s="17" t="s">
        <v>375</v>
      </c>
      <c r="E139" t="s">
        <v>680</v>
      </c>
      <c r="F139" s="2">
        <v>4833000</v>
      </c>
      <c r="G139">
        <f>IF(F139="","",F139*Parameters!$B$1)</f>
        <v>1014930</v>
      </c>
    </row>
    <row r="140" spans="1:7" ht="30.75">
      <c r="A140" t="s">
        <v>593</v>
      </c>
      <c r="B140" s="17" t="s">
        <v>671</v>
      </c>
      <c r="E140" t="s">
        <v>680</v>
      </c>
      <c r="F140" s="2">
        <v>4833000</v>
      </c>
      <c r="G140">
        <f>IF(F140="","",F140*Parameters!$B$1)</f>
        <v>1014930</v>
      </c>
    </row>
    <row r="141" spans="1:7">
      <c r="A141" t="s">
        <v>593</v>
      </c>
      <c r="B141" s="17" t="s">
        <v>661</v>
      </c>
      <c r="E141" t="s">
        <v>680</v>
      </c>
      <c r="F141" s="2">
        <v>4833000</v>
      </c>
      <c r="G141">
        <f>IF(F141="","",F141*Parameters!$B$1)</f>
        <v>1014930</v>
      </c>
    </row>
    <row r="142" spans="1:7">
      <c r="A142" t="s">
        <v>593</v>
      </c>
      <c r="B142" s="17" t="s">
        <v>644</v>
      </c>
      <c r="E142" t="s">
        <v>680</v>
      </c>
      <c r="F142" s="2">
        <v>5863000</v>
      </c>
    </row>
    <row r="143" spans="1:7">
      <c r="A143" t="s">
        <v>593</v>
      </c>
      <c r="B143" s="17" t="s">
        <v>692</v>
      </c>
      <c r="E143" t="s">
        <v>680</v>
      </c>
      <c r="F143" s="2">
        <v>5863000</v>
      </c>
    </row>
    <row r="144" spans="1:7">
      <c r="A144" t="s">
        <v>593</v>
      </c>
      <c r="B144" s="17" t="s">
        <v>693</v>
      </c>
      <c r="E144" t="s">
        <v>680</v>
      </c>
      <c r="F144" s="2">
        <v>6584000</v>
      </c>
      <c r="G144">
        <f>IF(F144="","",F144*Parameters!$B$1)</f>
        <v>1382640</v>
      </c>
    </row>
    <row r="145" spans="1:10">
      <c r="A145" t="s">
        <v>593</v>
      </c>
      <c r="B145" s="17" t="s">
        <v>694</v>
      </c>
      <c r="E145" t="s">
        <v>680</v>
      </c>
      <c r="F145" s="2">
        <v>6584000</v>
      </c>
      <c r="G145">
        <f>IF(F145="","",F145*Parameters!$B$1)</f>
        <v>1382640</v>
      </c>
    </row>
    <row r="146" spans="1:10" ht="30.75">
      <c r="A146" t="s">
        <v>593</v>
      </c>
      <c r="B146" s="17" t="s">
        <v>677</v>
      </c>
      <c r="E146" t="s">
        <v>680</v>
      </c>
      <c r="F146" s="2">
        <v>6584000</v>
      </c>
      <c r="G146">
        <f>IF(F146="","",F146*Parameters!$B$1)</f>
        <v>1382640</v>
      </c>
    </row>
    <row r="147" spans="1:10">
      <c r="A147" t="s">
        <v>593</v>
      </c>
      <c r="B147" s="17" t="s">
        <v>124</v>
      </c>
      <c r="E147" t="s">
        <v>680</v>
      </c>
      <c r="F147" s="2">
        <v>6584000</v>
      </c>
      <c r="G147">
        <f>IF(F147="","",F147*Parameters!$B$1)</f>
        <v>1382640</v>
      </c>
    </row>
    <row r="148" spans="1:10">
      <c r="A148" s="18" t="s">
        <v>593</v>
      </c>
      <c r="B148" s="19" t="s">
        <v>607</v>
      </c>
      <c r="C148" s="18"/>
      <c r="D148" s="18"/>
      <c r="E148" t="s">
        <v>680</v>
      </c>
      <c r="F148" s="21">
        <v>6584000</v>
      </c>
      <c r="G148">
        <f>IF(F148="","",F148*Parameters!$B$1)</f>
        <v>1382640</v>
      </c>
      <c r="H148" s="18"/>
      <c r="I148" s="18"/>
      <c r="J148" s="18"/>
    </row>
    <row r="149" spans="1:10" ht="30.75">
      <c r="A149" s="18" t="s">
        <v>593</v>
      </c>
      <c r="B149" s="19" t="s">
        <v>695</v>
      </c>
      <c r="C149" s="18"/>
      <c r="D149" s="18"/>
      <c r="E149" t="s">
        <v>680</v>
      </c>
      <c r="F149" s="21">
        <v>6584000</v>
      </c>
      <c r="G149">
        <f>IF(F149="","",F149*Parameters!$B$1)</f>
        <v>1382640</v>
      </c>
      <c r="H149" s="18"/>
      <c r="I149" s="18"/>
      <c r="J149" s="1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01C8E-3DE2-47B5-AF19-9B2A924E00E5}">
  <dimension ref="A1:L11"/>
  <sheetViews>
    <sheetView workbookViewId="0">
      <selection activeCell="B11" sqref="B11"/>
    </sheetView>
  </sheetViews>
  <sheetFormatPr defaultRowHeight="15"/>
  <cols>
    <col min="1" max="1" width="21.28515625" customWidth="1"/>
    <col min="2" max="2" width="41.140625" customWidth="1"/>
    <col min="3" max="3" width="16.28515625" customWidth="1"/>
    <col min="4" max="4" width="17.7109375" customWidth="1"/>
    <col min="5" max="5" width="21.140625" customWidth="1"/>
    <col min="6" max="6" width="24" customWidth="1"/>
    <col min="7" max="7" width="26" customWidth="1"/>
    <col min="8" max="9" width="18.5703125" customWidth="1"/>
    <col min="10" max="11" width="28" customWidth="1"/>
    <col min="12" max="12" width="30.140625" customWidth="1"/>
    <col min="13" max="13" width="11.7109375" customWidth="1"/>
  </cols>
  <sheetData>
    <row r="1" spans="1:12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289</v>
      </c>
      <c r="I1" s="7" t="s">
        <v>696</v>
      </c>
      <c r="J1" s="7" t="s">
        <v>697</v>
      </c>
      <c r="K1" s="13" t="s">
        <v>698</v>
      </c>
      <c r="L1" s="7" t="s">
        <v>291</v>
      </c>
    </row>
    <row r="2" spans="1:12">
      <c r="A2" t="s">
        <v>699</v>
      </c>
      <c r="B2" t="s">
        <v>430</v>
      </c>
      <c r="C2" t="s">
        <v>15</v>
      </c>
      <c r="D2" t="s">
        <v>547</v>
      </c>
      <c r="E2" t="s">
        <v>594</v>
      </c>
      <c r="H2" s="2">
        <v>969750</v>
      </c>
      <c r="I2" s="2">
        <v>1309750</v>
      </c>
      <c r="J2" s="2">
        <v>202812</v>
      </c>
      <c r="K2" s="2">
        <v>273919</v>
      </c>
    </row>
    <row r="3" spans="1:12">
      <c r="A3" t="s">
        <v>699</v>
      </c>
      <c r="B3" t="s">
        <v>33</v>
      </c>
      <c r="C3" t="s">
        <v>15</v>
      </c>
      <c r="D3" t="s">
        <v>547</v>
      </c>
      <c r="E3" t="s">
        <v>594</v>
      </c>
      <c r="H3" s="2">
        <v>969750</v>
      </c>
      <c r="I3" s="2">
        <v>1309750</v>
      </c>
      <c r="J3" s="14">
        <v>202812</v>
      </c>
      <c r="K3" s="2">
        <v>273919</v>
      </c>
    </row>
    <row r="4" spans="1:12">
      <c r="A4" t="s">
        <v>699</v>
      </c>
      <c r="B4" t="s">
        <v>700</v>
      </c>
      <c r="C4" t="s">
        <v>15</v>
      </c>
      <c r="D4" t="s">
        <v>547</v>
      </c>
      <c r="E4" t="s">
        <v>594</v>
      </c>
      <c r="H4" s="2">
        <v>969750</v>
      </c>
      <c r="I4" s="2">
        <v>1309750</v>
      </c>
      <c r="J4" s="2">
        <v>202812</v>
      </c>
      <c r="K4" s="2">
        <v>273919</v>
      </c>
    </row>
    <row r="5" spans="1:12">
      <c r="A5" t="s">
        <v>699</v>
      </c>
      <c r="B5" t="s">
        <v>701</v>
      </c>
      <c r="C5" t="s">
        <v>15</v>
      </c>
      <c r="D5" t="s">
        <v>547</v>
      </c>
      <c r="E5" t="s">
        <v>594</v>
      </c>
      <c r="H5" s="2">
        <v>969750</v>
      </c>
      <c r="I5" s="2">
        <v>1309750</v>
      </c>
      <c r="J5" s="14">
        <v>202812</v>
      </c>
      <c r="K5" s="2">
        <v>273919</v>
      </c>
    </row>
    <row r="6" spans="1:12">
      <c r="A6" t="s">
        <v>699</v>
      </c>
      <c r="B6" t="s">
        <v>702</v>
      </c>
      <c r="C6" t="s">
        <v>15</v>
      </c>
      <c r="D6" t="s">
        <v>547</v>
      </c>
      <c r="E6" t="s">
        <v>594</v>
      </c>
      <c r="H6" s="2">
        <v>969750</v>
      </c>
      <c r="I6" s="2">
        <v>1309750</v>
      </c>
      <c r="J6" s="2">
        <v>202812</v>
      </c>
      <c r="K6" s="2">
        <v>273919</v>
      </c>
    </row>
    <row r="7" spans="1:12">
      <c r="A7" t="s">
        <v>699</v>
      </c>
      <c r="B7" t="s">
        <v>703</v>
      </c>
      <c r="C7" t="s">
        <v>15</v>
      </c>
      <c r="D7" t="s">
        <v>547</v>
      </c>
      <c r="E7" t="s">
        <v>594</v>
      </c>
      <c r="H7" s="2">
        <v>969750</v>
      </c>
      <c r="I7" s="2">
        <v>1309750</v>
      </c>
      <c r="J7" s="14">
        <v>202812</v>
      </c>
      <c r="K7" s="2">
        <v>273919</v>
      </c>
    </row>
    <row r="8" spans="1:12">
      <c r="A8" t="s">
        <v>699</v>
      </c>
      <c r="B8" t="s">
        <v>704</v>
      </c>
      <c r="C8" t="s">
        <v>15</v>
      </c>
      <c r="D8" t="s">
        <v>547</v>
      </c>
      <c r="E8" t="s">
        <v>410</v>
      </c>
      <c r="H8" s="2">
        <v>969750</v>
      </c>
      <c r="I8" s="2">
        <v>1309750</v>
      </c>
      <c r="J8" s="2">
        <v>202812</v>
      </c>
      <c r="K8" s="2">
        <v>273919</v>
      </c>
    </row>
    <row r="9" spans="1:12">
      <c r="A9" t="s">
        <v>699</v>
      </c>
      <c r="B9" t="s">
        <v>705</v>
      </c>
      <c r="C9" t="s">
        <v>15</v>
      </c>
      <c r="D9" t="s">
        <v>547</v>
      </c>
      <c r="E9" t="s">
        <v>410</v>
      </c>
      <c r="H9" s="2">
        <v>969750</v>
      </c>
      <c r="I9" s="2">
        <v>1309750</v>
      </c>
      <c r="J9" s="14">
        <v>202812</v>
      </c>
      <c r="K9" s="2">
        <v>273919</v>
      </c>
    </row>
    <row r="10" spans="1:12">
      <c r="A10" t="s">
        <v>699</v>
      </c>
      <c r="B10" t="s">
        <v>706</v>
      </c>
      <c r="C10" t="s">
        <v>15</v>
      </c>
      <c r="D10" t="s">
        <v>547</v>
      </c>
      <c r="E10" t="s">
        <v>410</v>
      </c>
      <c r="H10" s="2">
        <v>969750</v>
      </c>
      <c r="I10" s="2">
        <v>1309750</v>
      </c>
      <c r="J10" s="2">
        <v>202812</v>
      </c>
      <c r="K10" s="2">
        <v>273919</v>
      </c>
    </row>
    <row r="11" spans="1:12">
      <c r="A11" t="s">
        <v>699</v>
      </c>
      <c r="B11" t="s">
        <v>707</v>
      </c>
      <c r="C11" t="s">
        <v>15</v>
      </c>
      <c r="D11" t="s">
        <v>547</v>
      </c>
      <c r="E11" t="s">
        <v>410</v>
      </c>
      <c r="H11" s="2">
        <v>969750</v>
      </c>
      <c r="I11" s="2">
        <v>1309750</v>
      </c>
      <c r="J11" s="14">
        <v>202812</v>
      </c>
      <c r="K11" s="2">
        <v>273919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C2C79-9CD1-4824-A926-7B33D2127D65}">
  <dimension ref="A1:P19"/>
  <sheetViews>
    <sheetView tabSelected="1" zoomScale="123" workbookViewId="0">
      <selection activeCell="C23" sqref="C23"/>
    </sheetView>
  </sheetViews>
  <sheetFormatPr defaultRowHeight="15"/>
  <cols>
    <col min="1" max="1" width="22" customWidth="1"/>
    <col min="2" max="2" width="40" customWidth="1"/>
    <col min="3" max="16" width="22" customWidth="1"/>
  </cols>
  <sheetData>
    <row r="1" spans="1:16" s="4" customFormat="1" ht="15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362</v>
      </c>
      <c r="I1" s="4" t="s">
        <v>71</v>
      </c>
      <c r="J1" s="6" t="s">
        <v>72</v>
      </c>
      <c r="K1" s="4" t="s">
        <v>363</v>
      </c>
      <c r="L1" s="4" t="s">
        <v>74</v>
      </c>
      <c r="M1" s="6" t="s">
        <v>75</v>
      </c>
      <c r="N1" s="4" t="s">
        <v>364</v>
      </c>
      <c r="O1" s="4" t="s">
        <v>77</v>
      </c>
      <c r="P1" s="6" t="s">
        <v>78</v>
      </c>
    </row>
    <row r="2" spans="1:16" s="4" customFormat="1" ht="15.75">
      <c r="G2" s="5"/>
      <c r="J2" s="6"/>
      <c r="M2" s="6"/>
      <c r="P2" s="6"/>
    </row>
    <row r="3" spans="1:16">
      <c r="A3" t="s">
        <v>708</v>
      </c>
      <c r="B3" t="s">
        <v>709</v>
      </c>
      <c r="C3" t="s">
        <v>15</v>
      </c>
      <c r="D3" t="s">
        <v>16</v>
      </c>
      <c r="E3" t="s">
        <v>293</v>
      </c>
      <c r="F3" s="2">
        <v>2750000</v>
      </c>
      <c r="G3">
        <f>IF(F3="","",F3*Parameters!$B$1)</f>
        <v>577500</v>
      </c>
      <c r="H3" s="2">
        <v>743680</v>
      </c>
      <c r="I3">
        <f>IF(H3="","",H3*Parameters!$B$1)</f>
        <v>156172.79999999999</v>
      </c>
      <c r="J3">
        <f t="shared" ref="J3:J19" si="0">IF(OR(G3="",I3=""),"",G3+I3)</f>
        <v>733672.8</v>
      </c>
      <c r="K3" s="2">
        <v>679840</v>
      </c>
      <c r="L3">
        <f>IF(K3="","",K3*Parameters!$B$1)</f>
        <v>142766.39999999999</v>
      </c>
      <c r="M3">
        <f t="shared" ref="M3:M19" si="1">IF(OR(G3="",L3=""),"",G3+L3)</f>
        <v>720266.4</v>
      </c>
      <c r="N3" s="2">
        <v>616000</v>
      </c>
      <c r="O3">
        <f>IF(N3="","",N3*Parameters!$B$1)</f>
        <v>129360</v>
      </c>
      <c r="P3">
        <f t="shared" ref="P3:P19" si="2">IF(OR(G3="",O3=""),"",G3+O3)</f>
        <v>706860</v>
      </c>
    </row>
    <row r="4" spans="1:16">
      <c r="A4" t="s">
        <v>708</v>
      </c>
      <c r="B4" t="s">
        <v>710</v>
      </c>
      <c r="C4" t="s">
        <v>15</v>
      </c>
      <c r="D4" t="s">
        <v>16</v>
      </c>
      <c r="E4" t="s">
        <v>293</v>
      </c>
      <c r="F4" s="2">
        <v>2750000</v>
      </c>
      <c r="G4">
        <f>IF(F4="","",F4*Parameters!$B$1)</f>
        <v>577500</v>
      </c>
      <c r="H4" s="2">
        <v>743680</v>
      </c>
      <c r="I4">
        <f>IF(H4="","",H4*Parameters!$B$1)</f>
        <v>156172.79999999999</v>
      </c>
      <c r="J4">
        <f t="shared" si="0"/>
        <v>733672.8</v>
      </c>
      <c r="K4" s="2">
        <v>679840</v>
      </c>
      <c r="L4">
        <f>IF(K4="","",K4*Parameters!$B$1)</f>
        <v>142766.39999999999</v>
      </c>
      <c r="M4">
        <f t="shared" si="1"/>
        <v>720266.4</v>
      </c>
      <c r="N4" s="2">
        <v>616000</v>
      </c>
      <c r="O4">
        <f>IF(N4="","",N4*Parameters!$B$1)</f>
        <v>129360</v>
      </c>
      <c r="P4">
        <f t="shared" si="2"/>
        <v>706860</v>
      </c>
    </row>
    <row r="5" spans="1:16">
      <c r="A5" t="s">
        <v>708</v>
      </c>
      <c r="B5" t="s">
        <v>711</v>
      </c>
      <c r="C5" t="s">
        <v>15</v>
      </c>
      <c r="D5" t="s">
        <v>16</v>
      </c>
      <c r="E5" t="s">
        <v>293</v>
      </c>
      <c r="F5" s="2">
        <v>2750000</v>
      </c>
      <c r="G5">
        <f>IF(F5="","",F5*Parameters!$B$1)</f>
        <v>577500</v>
      </c>
      <c r="H5" s="2">
        <v>743680</v>
      </c>
      <c r="I5">
        <f>IF(H5="","",H5*Parameters!$B$1)</f>
        <v>156172.79999999999</v>
      </c>
      <c r="J5">
        <f t="shared" si="0"/>
        <v>733672.8</v>
      </c>
      <c r="K5" s="2">
        <v>679840</v>
      </c>
      <c r="L5">
        <f>IF(K5="","",K5*Parameters!$B$1)</f>
        <v>142766.39999999999</v>
      </c>
      <c r="M5">
        <f t="shared" si="1"/>
        <v>720266.4</v>
      </c>
      <c r="N5" s="2">
        <v>616000</v>
      </c>
      <c r="O5">
        <f>IF(N5="","",N5*Parameters!$B$1)</f>
        <v>129360</v>
      </c>
      <c r="P5">
        <f t="shared" si="2"/>
        <v>706860</v>
      </c>
    </row>
    <row r="6" spans="1:16">
      <c r="A6" t="s">
        <v>708</v>
      </c>
      <c r="B6" s="1" t="s">
        <v>622</v>
      </c>
      <c r="C6" t="s">
        <v>15</v>
      </c>
      <c r="D6" t="s">
        <v>16</v>
      </c>
      <c r="E6" t="s">
        <v>293</v>
      </c>
      <c r="F6" s="2">
        <v>3300000</v>
      </c>
      <c r="G6">
        <f>IF(F6="","",F6*Parameters!$B$1)</f>
        <v>693000</v>
      </c>
      <c r="H6" s="2">
        <v>743680</v>
      </c>
      <c r="I6">
        <f>IF(H6="","",H6*Parameters!$B$1)</f>
        <v>156172.79999999999</v>
      </c>
      <c r="J6">
        <f t="shared" si="0"/>
        <v>849172.8</v>
      </c>
      <c r="K6" s="2">
        <v>679840</v>
      </c>
      <c r="L6">
        <f>IF(K6="","",K6*Parameters!$B$1)</f>
        <v>142766.39999999999</v>
      </c>
      <c r="M6">
        <f t="shared" si="1"/>
        <v>835766.4</v>
      </c>
      <c r="N6" s="2">
        <v>616000</v>
      </c>
      <c r="O6">
        <f>IF(N6="","",N6*Parameters!$B$1)</f>
        <v>129360</v>
      </c>
      <c r="P6">
        <f t="shared" si="2"/>
        <v>822360</v>
      </c>
    </row>
    <row r="7" spans="1:16">
      <c r="A7" t="s">
        <v>708</v>
      </c>
      <c r="B7" t="s">
        <v>712</v>
      </c>
      <c r="C7" t="s">
        <v>15</v>
      </c>
      <c r="D7" t="s">
        <v>16</v>
      </c>
      <c r="E7" t="s">
        <v>293</v>
      </c>
      <c r="F7" s="2">
        <v>3100000</v>
      </c>
      <c r="G7">
        <f>IF(F7="","",F7*Parameters!$B$1)</f>
        <v>651000</v>
      </c>
      <c r="H7" s="2">
        <v>743680</v>
      </c>
      <c r="I7">
        <f>IF(H7="","",H7*Parameters!$B$1)</f>
        <v>156172.79999999999</v>
      </c>
      <c r="J7">
        <f t="shared" si="0"/>
        <v>807172.8</v>
      </c>
      <c r="K7" s="2">
        <v>679840</v>
      </c>
      <c r="L7">
        <f>IF(K7="","",K7*Parameters!$B$1)</f>
        <v>142766.39999999999</v>
      </c>
      <c r="M7">
        <f t="shared" si="1"/>
        <v>793766.40000000002</v>
      </c>
      <c r="N7" s="2">
        <v>616000</v>
      </c>
      <c r="O7">
        <f>IF(N7="","",N7*Parameters!$B$1)</f>
        <v>129360</v>
      </c>
      <c r="P7">
        <f t="shared" si="2"/>
        <v>780360</v>
      </c>
    </row>
    <row r="8" spans="1:16">
      <c r="A8" t="s">
        <v>708</v>
      </c>
      <c r="B8" s="1" t="s">
        <v>713</v>
      </c>
      <c r="C8" t="s">
        <v>15</v>
      </c>
      <c r="D8" t="s">
        <v>16</v>
      </c>
      <c r="E8" t="s">
        <v>293</v>
      </c>
      <c r="F8" s="2">
        <v>3050000</v>
      </c>
      <c r="G8">
        <f>IF(F8="","",F8*Parameters!$B$1)</f>
        <v>640500</v>
      </c>
      <c r="H8" s="2">
        <v>743680</v>
      </c>
      <c r="I8">
        <f>IF(H8="","",H8*Parameters!$B$1)</f>
        <v>156172.79999999999</v>
      </c>
      <c r="J8">
        <f t="shared" si="0"/>
        <v>796672.8</v>
      </c>
      <c r="K8" s="2">
        <v>679840</v>
      </c>
      <c r="L8">
        <f>IF(K8="","",K8*Parameters!$B$1)</f>
        <v>142766.39999999999</v>
      </c>
      <c r="M8">
        <f t="shared" si="1"/>
        <v>783266.4</v>
      </c>
      <c r="N8" s="2">
        <v>616000</v>
      </c>
      <c r="O8">
        <f>IF(N8="","",N8*Parameters!$B$1)</f>
        <v>129360</v>
      </c>
      <c r="P8">
        <f t="shared" si="2"/>
        <v>769860</v>
      </c>
    </row>
    <row r="9" spans="1:16">
      <c r="A9" t="s">
        <v>708</v>
      </c>
      <c r="B9" t="s">
        <v>714</v>
      </c>
      <c r="C9" t="s">
        <v>15</v>
      </c>
      <c r="D9" t="s">
        <v>16</v>
      </c>
      <c r="E9" t="s">
        <v>293</v>
      </c>
      <c r="F9" s="2">
        <v>2950000</v>
      </c>
      <c r="G9">
        <f>IF(F9="","",F9*Parameters!$B$1)</f>
        <v>619500</v>
      </c>
      <c r="H9" s="2">
        <v>743680</v>
      </c>
      <c r="I9">
        <f>IF(H9="","",H9*Parameters!$B$1)</f>
        <v>156172.79999999999</v>
      </c>
      <c r="J9">
        <f t="shared" si="0"/>
        <v>775672.8</v>
      </c>
      <c r="K9" s="2">
        <v>679840</v>
      </c>
      <c r="L9">
        <f>IF(K9="","",K9*Parameters!$B$1)</f>
        <v>142766.39999999999</v>
      </c>
      <c r="M9">
        <f t="shared" si="1"/>
        <v>762266.4</v>
      </c>
      <c r="N9" s="2">
        <v>616000</v>
      </c>
      <c r="O9">
        <f>IF(N9="","",N9*Parameters!$B$1)</f>
        <v>129360</v>
      </c>
      <c r="P9">
        <f t="shared" si="2"/>
        <v>748860</v>
      </c>
    </row>
    <row r="10" spans="1:16">
      <c r="A10" t="s">
        <v>708</v>
      </c>
      <c r="B10" t="s">
        <v>715</v>
      </c>
      <c r="C10" t="s">
        <v>15</v>
      </c>
      <c r="D10" t="s">
        <v>16</v>
      </c>
      <c r="E10" t="s">
        <v>293</v>
      </c>
      <c r="F10" s="2">
        <v>2950000</v>
      </c>
      <c r="G10">
        <f>IF(F10="","",F10*Parameters!$B$1)</f>
        <v>619500</v>
      </c>
      <c r="H10" s="2">
        <v>743680</v>
      </c>
      <c r="I10">
        <f>IF(H10="","",H10*Parameters!$B$1)</f>
        <v>156172.79999999999</v>
      </c>
      <c r="J10">
        <f t="shared" si="0"/>
        <v>775672.8</v>
      </c>
      <c r="K10" s="2">
        <v>679840</v>
      </c>
      <c r="L10">
        <f>IF(K10="","",K10*Parameters!$B$1)</f>
        <v>142766.39999999999</v>
      </c>
      <c r="M10">
        <f t="shared" si="1"/>
        <v>762266.4</v>
      </c>
      <c r="N10" s="2">
        <v>616000</v>
      </c>
      <c r="O10">
        <f>IF(N10="","",N10*Parameters!$B$1)</f>
        <v>129360</v>
      </c>
      <c r="P10">
        <f t="shared" si="2"/>
        <v>748860</v>
      </c>
    </row>
    <row r="11" spans="1:16">
      <c r="A11" t="s">
        <v>708</v>
      </c>
      <c r="B11" t="s">
        <v>716</v>
      </c>
      <c r="C11" t="s">
        <v>15</v>
      </c>
      <c r="D11" t="s">
        <v>16</v>
      </c>
      <c r="E11" t="s">
        <v>293</v>
      </c>
      <c r="F11" s="2">
        <v>2695000</v>
      </c>
      <c r="G11">
        <f>IF(F11="","",F11*Parameters!$B$1)</f>
        <v>565950</v>
      </c>
      <c r="H11" s="2">
        <v>743680</v>
      </c>
      <c r="I11">
        <f>IF(H11="","",H11*Parameters!$B$1)</f>
        <v>156172.79999999999</v>
      </c>
      <c r="J11">
        <f t="shared" si="0"/>
        <v>722122.8</v>
      </c>
      <c r="K11" s="2">
        <v>679840</v>
      </c>
      <c r="L11">
        <f>IF(K11="","",K11*Parameters!$B$1)</f>
        <v>142766.39999999999</v>
      </c>
      <c r="M11">
        <f t="shared" si="1"/>
        <v>708716.4</v>
      </c>
      <c r="N11" s="2">
        <v>616000</v>
      </c>
      <c r="O11">
        <f>IF(N11="","",N11*Parameters!$B$1)</f>
        <v>129360</v>
      </c>
      <c r="P11">
        <f t="shared" si="2"/>
        <v>695310</v>
      </c>
    </row>
    <row r="12" spans="1:16">
      <c r="A12" t="s">
        <v>708</v>
      </c>
      <c r="B12" s="1" t="s">
        <v>717</v>
      </c>
      <c r="C12" t="s">
        <v>15</v>
      </c>
      <c r="D12" t="s">
        <v>16</v>
      </c>
      <c r="E12" t="s">
        <v>293</v>
      </c>
      <c r="F12" s="2">
        <v>2695000</v>
      </c>
      <c r="G12">
        <f>IF(F12="","",F12*Parameters!$B$1)</f>
        <v>565950</v>
      </c>
      <c r="H12" s="2">
        <v>743680</v>
      </c>
      <c r="I12">
        <f>IF(H12="","",H12*Parameters!$B$1)</f>
        <v>156172.79999999999</v>
      </c>
      <c r="J12">
        <f t="shared" si="0"/>
        <v>722122.8</v>
      </c>
      <c r="K12" s="2">
        <v>679840</v>
      </c>
      <c r="L12">
        <f>IF(K12="","",K12*Parameters!$B$1)</f>
        <v>142766.39999999999</v>
      </c>
      <c r="M12">
        <f t="shared" si="1"/>
        <v>708716.4</v>
      </c>
      <c r="N12" s="2">
        <v>616000</v>
      </c>
      <c r="O12">
        <f>IF(N12="","",N12*Parameters!$B$1)</f>
        <v>129360</v>
      </c>
      <c r="P12">
        <f t="shared" si="2"/>
        <v>695310</v>
      </c>
    </row>
    <row r="13" spans="1:16">
      <c r="A13" t="s">
        <v>708</v>
      </c>
      <c r="B13" t="s">
        <v>718</v>
      </c>
      <c r="C13" t="s">
        <v>15</v>
      </c>
      <c r="D13" t="s">
        <v>16</v>
      </c>
      <c r="E13" t="s">
        <v>293</v>
      </c>
      <c r="F13" s="2">
        <v>2695000</v>
      </c>
      <c r="G13">
        <f>IF(F13="","",F13*Parameters!$B$1)</f>
        <v>565950</v>
      </c>
      <c r="H13" s="2">
        <v>743680</v>
      </c>
      <c r="I13">
        <f>IF(H13="","",H13*Parameters!$B$1)</f>
        <v>156172.79999999999</v>
      </c>
      <c r="J13">
        <f t="shared" si="0"/>
        <v>722122.8</v>
      </c>
      <c r="K13" s="2">
        <v>679840</v>
      </c>
      <c r="L13">
        <f>IF(K13="","",K13*Parameters!$B$1)</f>
        <v>142766.39999999999</v>
      </c>
      <c r="M13">
        <f t="shared" si="1"/>
        <v>708716.4</v>
      </c>
      <c r="N13" s="2">
        <v>616000</v>
      </c>
      <c r="O13">
        <f>IF(N13="","",N13*Parameters!$B$1)</f>
        <v>129360</v>
      </c>
      <c r="P13">
        <f t="shared" si="2"/>
        <v>695310</v>
      </c>
    </row>
    <row r="14" spans="1:16">
      <c r="A14" t="s">
        <v>708</v>
      </c>
      <c r="B14" t="s">
        <v>719</v>
      </c>
      <c r="C14" t="s">
        <v>15</v>
      </c>
      <c r="D14" t="s">
        <v>16</v>
      </c>
      <c r="E14" t="s">
        <v>293</v>
      </c>
      <c r="F14" s="2">
        <v>2695000</v>
      </c>
      <c r="G14">
        <f>IF(F14="","",F14*Parameters!$B$1)</f>
        <v>565950</v>
      </c>
      <c r="H14" s="2">
        <v>743680</v>
      </c>
      <c r="I14">
        <f>IF(H14="","",H14*Parameters!$B$1)</f>
        <v>156172.79999999999</v>
      </c>
      <c r="J14">
        <f t="shared" si="0"/>
        <v>722122.8</v>
      </c>
      <c r="K14" s="2">
        <v>679840</v>
      </c>
      <c r="L14">
        <f>IF(K14="","",K14*Parameters!$B$1)</f>
        <v>142766.39999999999</v>
      </c>
      <c r="M14">
        <f t="shared" si="1"/>
        <v>708716.4</v>
      </c>
      <c r="N14" s="2">
        <v>616000</v>
      </c>
      <c r="O14">
        <f>IF(N14="","",N14*Parameters!$B$1)</f>
        <v>129360</v>
      </c>
      <c r="P14">
        <f t="shared" si="2"/>
        <v>695310</v>
      </c>
    </row>
    <row r="15" spans="1:16">
      <c r="A15" t="s">
        <v>708</v>
      </c>
      <c r="B15" t="s">
        <v>720</v>
      </c>
      <c r="C15" t="s">
        <v>15</v>
      </c>
      <c r="D15" t="s">
        <v>16</v>
      </c>
      <c r="E15" t="s">
        <v>293</v>
      </c>
      <c r="F15" s="2">
        <v>2695000</v>
      </c>
      <c r="G15">
        <f>IF(F15="","",F15*Parameters!$B$1)</f>
        <v>565950</v>
      </c>
      <c r="H15" s="2">
        <v>743680</v>
      </c>
      <c r="I15">
        <f>IF(H15="","",H15*Parameters!$B$1)</f>
        <v>156172.79999999999</v>
      </c>
      <c r="J15">
        <f t="shared" si="0"/>
        <v>722122.8</v>
      </c>
      <c r="K15" s="2">
        <v>679840</v>
      </c>
      <c r="L15">
        <f>IF(K15="","",K15*Parameters!$B$1)</f>
        <v>142766.39999999999</v>
      </c>
      <c r="M15">
        <f t="shared" si="1"/>
        <v>708716.4</v>
      </c>
      <c r="N15" s="2">
        <v>616000</v>
      </c>
      <c r="O15">
        <f>IF(N15="","",N15*Parameters!$B$1)</f>
        <v>129360</v>
      </c>
      <c r="P15">
        <f t="shared" si="2"/>
        <v>695310</v>
      </c>
    </row>
    <row r="16" spans="1:16">
      <c r="A16" t="s">
        <v>708</v>
      </c>
      <c r="B16" t="s">
        <v>721</v>
      </c>
      <c r="C16" t="s">
        <v>15</v>
      </c>
      <c r="D16" t="s">
        <v>16</v>
      </c>
      <c r="E16" t="s">
        <v>293</v>
      </c>
      <c r="F16" s="2">
        <v>2695000</v>
      </c>
      <c r="G16">
        <f>IF(F16="","",F16*Parameters!$B$1)</f>
        <v>565950</v>
      </c>
      <c r="H16" s="2">
        <v>743680</v>
      </c>
      <c r="I16">
        <f>IF(H16="","",H16*Parameters!$B$1)</f>
        <v>156172.79999999999</v>
      </c>
      <c r="J16">
        <f t="shared" si="0"/>
        <v>722122.8</v>
      </c>
      <c r="K16" s="2">
        <v>679840</v>
      </c>
      <c r="L16">
        <f>IF(K16="","",K16*Parameters!$B$1)</f>
        <v>142766.39999999999</v>
      </c>
      <c r="M16">
        <f t="shared" si="1"/>
        <v>708716.4</v>
      </c>
      <c r="N16" s="2">
        <v>616000</v>
      </c>
      <c r="O16">
        <f>IF(N16="","",N16*Parameters!$B$1)</f>
        <v>129360</v>
      </c>
      <c r="P16">
        <f t="shared" si="2"/>
        <v>695310</v>
      </c>
    </row>
    <row r="17" spans="1:16">
      <c r="A17" t="s">
        <v>708</v>
      </c>
      <c r="B17" t="s">
        <v>722</v>
      </c>
      <c r="C17" t="s">
        <v>15</v>
      </c>
      <c r="D17" t="s">
        <v>16</v>
      </c>
      <c r="E17" t="s">
        <v>293</v>
      </c>
      <c r="F17" s="2">
        <v>2750000</v>
      </c>
      <c r="G17">
        <f>IF(F17="","",F17*Parameters!$B$1)</f>
        <v>577500</v>
      </c>
      <c r="H17" s="2">
        <v>743680</v>
      </c>
      <c r="I17">
        <f>IF(H17="","",H17*Parameters!$B$1)</f>
        <v>156172.79999999999</v>
      </c>
      <c r="J17">
        <f t="shared" si="0"/>
        <v>733672.8</v>
      </c>
      <c r="K17" s="2">
        <v>679840</v>
      </c>
      <c r="L17">
        <f>IF(K17="","",K17*Parameters!$B$1)</f>
        <v>142766.39999999999</v>
      </c>
      <c r="M17">
        <f t="shared" si="1"/>
        <v>720266.4</v>
      </c>
      <c r="N17" s="2">
        <v>616000</v>
      </c>
      <c r="O17">
        <f>IF(N17="","",N17*Parameters!$B$1)</f>
        <v>129360</v>
      </c>
      <c r="P17">
        <f t="shared" si="2"/>
        <v>706860</v>
      </c>
    </row>
    <row r="18" spans="1:16">
      <c r="A18" t="s">
        <v>708</v>
      </c>
      <c r="B18" t="s">
        <v>723</v>
      </c>
      <c r="C18" t="s">
        <v>15</v>
      </c>
      <c r="D18" t="s">
        <v>16</v>
      </c>
      <c r="E18" t="s">
        <v>293</v>
      </c>
      <c r="F18" s="2">
        <v>2750000</v>
      </c>
      <c r="G18">
        <f>IF(F18="","",F18*Parameters!$B$1)</f>
        <v>577500</v>
      </c>
      <c r="H18" s="2">
        <v>743680</v>
      </c>
      <c r="I18">
        <f>IF(H18="","",H18*Parameters!$B$1)</f>
        <v>156172.79999999999</v>
      </c>
      <c r="J18">
        <f t="shared" si="0"/>
        <v>733672.8</v>
      </c>
      <c r="K18" s="2">
        <v>679840</v>
      </c>
      <c r="L18">
        <f>IF(K18="","",K18*Parameters!$B$1)</f>
        <v>142766.39999999999</v>
      </c>
      <c r="M18">
        <f t="shared" si="1"/>
        <v>720266.4</v>
      </c>
      <c r="N18" s="2">
        <v>616000</v>
      </c>
      <c r="O18">
        <f>IF(N18="","",N18*Parameters!$B$1)</f>
        <v>129360</v>
      </c>
      <c r="P18">
        <f t="shared" si="2"/>
        <v>706860</v>
      </c>
    </row>
    <row r="19" spans="1:16">
      <c r="A19" t="s">
        <v>708</v>
      </c>
      <c r="B19" t="s">
        <v>724</v>
      </c>
      <c r="C19" t="s">
        <v>15</v>
      </c>
      <c r="D19" t="s">
        <v>16</v>
      </c>
      <c r="E19" t="s">
        <v>293</v>
      </c>
      <c r="F19" s="2">
        <v>2750000</v>
      </c>
      <c r="G19">
        <f>IF(F19="","",F19*Parameters!$B$1)</f>
        <v>577500</v>
      </c>
      <c r="H19" s="2">
        <v>743680</v>
      </c>
      <c r="I19">
        <f>IF(H19="","",H19*Parameters!$B$1)</f>
        <v>156172.79999999999</v>
      </c>
      <c r="J19">
        <f t="shared" si="0"/>
        <v>733672.8</v>
      </c>
      <c r="K19" s="2">
        <v>679840</v>
      </c>
      <c r="L19">
        <f>IF(K19="","",K19*Parameters!$B$1)</f>
        <v>142766.39999999999</v>
      </c>
      <c r="M19">
        <f t="shared" si="1"/>
        <v>720266.4</v>
      </c>
      <c r="N19" s="2">
        <v>616000</v>
      </c>
      <c r="O19">
        <f>IF(N19="","",N19*Parameters!$B$1)</f>
        <v>129360</v>
      </c>
      <c r="P19">
        <f t="shared" si="2"/>
        <v>706860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B221E-9D15-49FB-AF4B-D9CE1751EEAA}">
  <dimension ref="A1:J150"/>
  <sheetViews>
    <sheetView topLeftCell="A123" zoomScale="84" workbookViewId="0">
      <selection activeCell="B143" sqref="B143"/>
    </sheetView>
  </sheetViews>
  <sheetFormatPr defaultRowHeight="15"/>
  <cols>
    <col min="1" max="1" width="33.42578125" customWidth="1"/>
    <col min="2" max="2" width="83.140625" customWidth="1"/>
    <col min="3" max="3" width="35.140625" customWidth="1"/>
    <col min="4" max="4" width="15.7109375" customWidth="1"/>
    <col min="5" max="5" width="22" customWidth="1"/>
    <col min="6" max="6" width="27.7109375" customWidth="1"/>
    <col min="7" max="7" width="18.7109375" customWidth="1"/>
    <col min="8" max="8" width="23.28515625" customWidth="1"/>
    <col min="9" max="9" width="24.42578125" customWidth="1"/>
    <col min="10" max="10" width="24" customWidth="1"/>
    <col min="11" max="11" width="26.7109375" customWidth="1"/>
  </cols>
  <sheetData>
    <row r="1" spans="1:1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289</v>
      </c>
      <c r="I1" s="7" t="s">
        <v>290</v>
      </c>
      <c r="J1" s="7" t="s">
        <v>291</v>
      </c>
    </row>
    <row r="2" spans="1:10">
      <c r="A2" t="s">
        <v>725</v>
      </c>
      <c r="B2" t="s">
        <v>726</v>
      </c>
      <c r="E2" t="s">
        <v>594</v>
      </c>
      <c r="F2" s="2">
        <v>1734000</v>
      </c>
      <c r="G2" s="2">
        <v>362646</v>
      </c>
    </row>
    <row r="3" spans="1:10">
      <c r="A3" t="s">
        <v>725</v>
      </c>
      <c r="B3" t="s">
        <v>159</v>
      </c>
      <c r="E3" t="s">
        <v>594</v>
      </c>
      <c r="F3" s="2">
        <v>1734000</v>
      </c>
      <c r="G3" s="2">
        <v>362646</v>
      </c>
    </row>
    <row r="4" spans="1:10">
      <c r="A4" t="s">
        <v>725</v>
      </c>
      <c r="B4" t="s">
        <v>727</v>
      </c>
      <c r="E4" t="s">
        <v>594</v>
      </c>
      <c r="F4" s="2">
        <v>1734000</v>
      </c>
      <c r="G4" s="2">
        <v>362646</v>
      </c>
    </row>
    <row r="5" spans="1:10">
      <c r="A5" t="s">
        <v>725</v>
      </c>
      <c r="B5" t="s">
        <v>728</v>
      </c>
      <c r="E5" t="s">
        <v>594</v>
      </c>
      <c r="F5" s="2">
        <v>1734000</v>
      </c>
      <c r="G5" s="2">
        <v>362646</v>
      </c>
    </row>
    <row r="6" spans="1:10">
      <c r="A6" t="s">
        <v>725</v>
      </c>
      <c r="B6" t="s">
        <v>729</v>
      </c>
      <c r="E6" t="s">
        <v>594</v>
      </c>
      <c r="F6" s="2">
        <v>1734000</v>
      </c>
      <c r="G6" s="2">
        <v>362646</v>
      </c>
    </row>
    <row r="7" spans="1:10">
      <c r="A7" t="s">
        <v>725</v>
      </c>
      <c r="B7" t="s">
        <v>730</v>
      </c>
      <c r="E7" t="s">
        <v>594</v>
      </c>
      <c r="F7" s="2">
        <v>1734000</v>
      </c>
      <c r="G7" s="2">
        <v>362646</v>
      </c>
    </row>
    <row r="8" spans="1:10">
      <c r="A8" t="s">
        <v>725</v>
      </c>
      <c r="B8" t="s">
        <v>731</v>
      </c>
      <c r="E8" t="s">
        <v>594</v>
      </c>
      <c r="F8" s="2">
        <v>1734000</v>
      </c>
      <c r="G8" s="2">
        <v>362646</v>
      </c>
    </row>
    <row r="9" spans="1:10">
      <c r="A9" t="s">
        <v>725</v>
      </c>
      <c r="B9" t="s">
        <v>41</v>
      </c>
      <c r="E9" t="s">
        <v>594</v>
      </c>
      <c r="F9" s="2">
        <v>1734000</v>
      </c>
      <c r="G9" s="2">
        <v>362646</v>
      </c>
    </row>
    <row r="10" spans="1:10">
      <c r="A10" t="s">
        <v>725</v>
      </c>
      <c r="B10" t="s">
        <v>56</v>
      </c>
      <c r="E10" t="s">
        <v>594</v>
      </c>
      <c r="F10" s="2">
        <v>1734000</v>
      </c>
      <c r="G10" s="2">
        <v>362646</v>
      </c>
    </row>
    <row r="11" spans="1:10">
      <c r="A11" t="s">
        <v>725</v>
      </c>
      <c r="B11" t="s">
        <v>732</v>
      </c>
      <c r="E11" t="s">
        <v>594</v>
      </c>
      <c r="F11" s="2">
        <v>1734000</v>
      </c>
      <c r="G11" s="2">
        <v>362646</v>
      </c>
    </row>
    <row r="12" spans="1:10">
      <c r="A12" t="s">
        <v>725</v>
      </c>
      <c r="B12" t="s">
        <v>376</v>
      </c>
      <c r="E12" t="s">
        <v>594</v>
      </c>
      <c r="F12" s="2">
        <v>1734000</v>
      </c>
      <c r="G12" s="2">
        <v>362646</v>
      </c>
    </row>
    <row r="13" spans="1:10">
      <c r="A13" t="s">
        <v>725</v>
      </c>
      <c r="B13" t="s">
        <v>188</v>
      </c>
      <c r="E13" t="s">
        <v>594</v>
      </c>
      <c r="F13" s="2">
        <v>1734000</v>
      </c>
      <c r="G13" s="2">
        <v>362646</v>
      </c>
    </row>
    <row r="14" spans="1:10">
      <c r="A14" t="s">
        <v>725</v>
      </c>
      <c r="B14" t="s">
        <v>33</v>
      </c>
      <c r="E14" t="s">
        <v>594</v>
      </c>
      <c r="F14" s="2">
        <v>1734000</v>
      </c>
      <c r="G14" s="2">
        <v>362646</v>
      </c>
    </row>
    <row r="15" spans="1:10">
      <c r="A15" t="s">
        <v>725</v>
      </c>
      <c r="B15" t="s">
        <v>733</v>
      </c>
      <c r="E15" t="s">
        <v>594</v>
      </c>
      <c r="F15" s="2">
        <v>2299000</v>
      </c>
      <c r="G15" s="2">
        <v>480809</v>
      </c>
    </row>
    <row r="16" spans="1:10">
      <c r="A16" t="s">
        <v>725</v>
      </c>
      <c r="B16" t="s">
        <v>734</v>
      </c>
      <c r="E16" t="s">
        <v>594</v>
      </c>
      <c r="F16" s="2">
        <v>2299000</v>
      </c>
      <c r="G16" s="2">
        <v>480809</v>
      </c>
    </row>
    <row r="17" spans="1:7">
      <c r="A17" t="s">
        <v>725</v>
      </c>
      <c r="B17" t="s">
        <v>38</v>
      </c>
      <c r="E17" t="s">
        <v>594</v>
      </c>
      <c r="F17" s="2">
        <v>2299000</v>
      </c>
      <c r="G17" s="2">
        <v>480809</v>
      </c>
    </row>
    <row r="18" spans="1:7">
      <c r="A18" t="s">
        <v>725</v>
      </c>
      <c r="B18" t="s">
        <v>735</v>
      </c>
      <c r="E18" t="s">
        <v>594</v>
      </c>
      <c r="F18" s="2">
        <v>2299000</v>
      </c>
      <c r="G18" s="2">
        <v>480809</v>
      </c>
    </row>
    <row r="19" spans="1:7">
      <c r="A19" t="s">
        <v>725</v>
      </c>
      <c r="B19" t="s">
        <v>736</v>
      </c>
      <c r="E19" t="s">
        <v>594</v>
      </c>
      <c r="F19" s="2">
        <v>2299000</v>
      </c>
      <c r="G19" s="2">
        <v>480809</v>
      </c>
    </row>
    <row r="20" spans="1:7">
      <c r="A20" t="s">
        <v>725</v>
      </c>
      <c r="B20" t="s">
        <v>737</v>
      </c>
      <c r="E20" t="s">
        <v>594</v>
      </c>
      <c r="F20" s="2">
        <v>2299000</v>
      </c>
      <c r="G20" s="2">
        <v>480809</v>
      </c>
    </row>
    <row r="21" spans="1:7">
      <c r="A21" t="s">
        <v>725</v>
      </c>
      <c r="B21" t="s">
        <v>738</v>
      </c>
      <c r="E21" t="s">
        <v>594</v>
      </c>
      <c r="F21" s="2">
        <v>2299000</v>
      </c>
      <c r="G21" s="2">
        <v>480809</v>
      </c>
    </row>
    <row r="22" spans="1:7">
      <c r="A22" t="s">
        <v>725</v>
      </c>
      <c r="B22" t="s">
        <v>739</v>
      </c>
      <c r="E22" t="s">
        <v>594</v>
      </c>
      <c r="F22" s="2">
        <v>2299000</v>
      </c>
      <c r="G22" s="2">
        <v>480809</v>
      </c>
    </row>
    <row r="23" spans="1:7">
      <c r="A23" t="s">
        <v>725</v>
      </c>
      <c r="B23" t="s">
        <v>517</v>
      </c>
      <c r="E23" t="s">
        <v>594</v>
      </c>
      <c r="F23" s="2">
        <v>2299000</v>
      </c>
      <c r="G23" s="2">
        <v>480809</v>
      </c>
    </row>
    <row r="24" spans="1:7">
      <c r="A24" t="s">
        <v>725</v>
      </c>
      <c r="B24" t="s">
        <v>740</v>
      </c>
      <c r="E24" t="s">
        <v>594</v>
      </c>
      <c r="F24" s="2">
        <v>2299000</v>
      </c>
      <c r="G24" s="2">
        <v>480809</v>
      </c>
    </row>
    <row r="25" spans="1:7">
      <c r="A25" t="s">
        <v>725</v>
      </c>
      <c r="B25" t="s">
        <v>104</v>
      </c>
      <c r="E25" t="s">
        <v>594</v>
      </c>
      <c r="F25" s="2">
        <v>2299000</v>
      </c>
      <c r="G25" s="2">
        <v>480809</v>
      </c>
    </row>
    <row r="26" spans="1:7">
      <c r="A26" t="s">
        <v>725</v>
      </c>
      <c r="B26" t="s">
        <v>741</v>
      </c>
      <c r="E26" t="s">
        <v>594</v>
      </c>
      <c r="F26" s="2">
        <v>2299000</v>
      </c>
      <c r="G26" s="2">
        <v>480809</v>
      </c>
    </row>
    <row r="27" spans="1:7">
      <c r="A27" t="s">
        <v>725</v>
      </c>
      <c r="B27" t="s">
        <v>742</v>
      </c>
      <c r="E27" t="s">
        <v>594</v>
      </c>
      <c r="F27" s="2">
        <v>2299000</v>
      </c>
      <c r="G27" s="2">
        <v>480809</v>
      </c>
    </row>
    <row r="28" spans="1:7">
      <c r="A28" t="s">
        <v>725</v>
      </c>
      <c r="B28" t="s">
        <v>743</v>
      </c>
      <c r="E28" t="s">
        <v>594</v>
      </c>
      <c r="F28" s="2">
        <v>2299000</v>
      </c>
      <c r="G28" s="2">
        <v>480809</v>
      </c>
    </row>
    <row r="29" spans="1:7">
      <c r="A29" t="s">
        <v>725</v>
      </c>
      <c r="B29" t="s">
        <v>744</v>
      </c>
      <c r="E29" t="s">
        <v>594</v>
      </c>
      <c r="F29" s="2">
        <v>2299000</v>
      </c>
      <c r="G29" s="2">
        <v>480809</v>
      </c>
    </row>
    <row r="30" spans="1:7">
      <c r="A30" t="s">
        <v>725</v>
      </c>
      <c r="B30" t="s">
        <v>745</v>
      </c>
      <c r="E30" t="s">
        <v>594</v>
      </c>
      <c r="F30" s="2">
        <v>2299000</v>
      </c>
      <c r="G30" s="2">
        <v>480809</v>
      </c>
    </row>
    <row r="31" spans="1:7">
      <c r="A31" t="s">
        <v>725</v>
      </c>
      <c r="B31" t="s">
        <v>746</v>
      </c>
      <c r="E31" t="s">
        <v>594</v>
      </c>
      <c r="F31" s="2">
        <v>2299000</v>
      </c>
      <c r="G31" s="2">
        <v>480809</v>
      </c>
    </row>
    <row r="32" spans="1:7">
      <c r="A32" t="s">
        <v>725</v>
      </c>
      <c r="B32" t="s">
        <v>747</v>
      </c>
      <c r="E32" t="s">
        <v>594</v>
      </c>
      <c r="F32" s="2">
        <v>2299000</v>
      </c>
      <c r="G32" s="2">
        <v>480809</v>
      </c>
    </row>
    <row r="33" spans="1:7">
      <c r="A33" t="s">
        <v>725</v>
      </c>
      <c r="B33" t="s">
        <v>748</v>
      </c>
      <c r="E33" t="s">
        <v>594</v>
      </c>
      <c r="F33" s="2">
        <v>2299000</v>
      </c>
      <c r="G33" s="2">
        <v>480809</v>
      </c>
    </row>
    <row r="34" spans="1:7">
      <c r="A34" t="s">
        <v>725</v>
      </c>
      <c r="B34" t="s">
        <v>749</v>
      </c>
      <c r="E34" t="s">
        <v>594</v>
      </c>
      <c r="F34" s="2">
        <v>2299000</v>
      </c>
      <c r="G34" s="2">
        <v>480809</v>
      </c>
    </row>
    <row r="35" spans="1:7">
      <c r="A35" t="s">
        <v>725</v>
      </c>
      <c r="B35" t="s">
        <v>750</v>
      </c>
      <c r="E35" t="s">
        <v>594</v>
      </c>
      <c r="F35" s="2">
        <v>2299000</v>
      </c>
      <c r="G35" s="2">
        <v>480809</v>
      </c>
    </row>
    <row r="36" spans="1:7">
      <c r="A36" t="s">
        <v>725</v>
      </c>
      <c r="B36" t="s">
        <v>751</v>
      </c>
      <c r="E36" t="s">
        <v>594</v>
      </c>
      <c r="F36" s="2">
        <v>2299000</v>
      </c>
      <c r="G36" s="2">
        <v>480809</v>
      </c>
    </row>
    <row r="37" spans="1:7">
      <c r="A37" t="s">
        <v>725</v>
      </c>
      <c r="B37" t="s">
        <v>752</v>
      </c>
      <c r="E37" t="s">
        <v>594</v>
      </c>
      <c r="F37" s="2">
        <v>2299000</v>
      </c>
      <c r="G37" s="2">
        <v>480809</v>
      </c>
    </row>
    <row r="38" spans="1:7">
      <c r="A38" t="s">
        <v>725</v>
      </c>
      <c r="B38" t="s">
        <v>753</v>
      </c>
      <c r="E38" t="s">
        <v>594</v>
      </c>
      <c r="F38" s="2">
        <v>2299000</v>
      </c>
      <c r="G38" s="2">
        <v>480809</v>
      </c>
    </row>
    <row r="39" spans="1:7">
      <c r="A39" t="s">
        <v>725</v>
      </c>
      <c r="B39" t="s">
        <v>754</v>
      </c>
      <c r="E39" t="s">
        <v>594</v>
      </c>
      <c r="F39" s="2">
        <v>2299000</v>
      </c>
      <c r="G39" s="2">
        <v>480809</v>
      </c>
    </row>
    <row r="40" spans="1:7">
      <c r="A40" t="s">
        <v>725</v>
      </c>
      <c r="B40" t="s">
        <v>755</v>
      </c>
      <c r="E40" t="s">
        <v>594</v>
      </c>
    </row>
    <row r="41" spans="1:7">
      <c r="A41" t="s">
        <v>725</v>
      </c>
      <c r="B41" t="s">
        <v>756</v>
      </c>
      <c r="E41" t="s">
        <v>594</v>
      </c>
    </row>
    <row r="42" spans="1:7">
      <c r="A42" t="s">
        <v>725</v>
      </c>
      <c r="B42" t="s">
        <v>757</v>
      </c>
      <c r="E42" t="s">
        <v>594</v>
      </c>
    </row>
    <row r="43" spans="1:7">
      <c r="A43" t="s">
        <v>725</v>
      </c>
      <c r="B43" t="s">
        <v>758</v>
      </c>
      <c r="E43" t="s">
        <v>594</v>
      </c>
    </row>
    <row r="44" spans="1:7">
      <c r="A44" t="s">
        <v>725</v>
      </c>
      <c r="B44" t="s">
        <v>759</v>
      </c>
      <c r="E44" t="s">
        <v>594</v>
      </c>
    </row>
    <row r="45" spans="1:7">
      <c r="A45" t="s">
        <v>725</v>
      </c>
      <c r="B45" t="s">
        <v>760</v>
      </c>
      <c r="E45" t="s">
        <v>594</v>
      </c>
    </row>
    <row r="46" spans="1:7">
      <c r="A46" t="s">
        <v>725</v>
      </c>
      <c r="B46" t="s">
        <v>761</v>
      </c>
      <c r="E46" t="s">
        <v>594</v>
      </c>
    </row>
    <row r="47" spans="1:7">
      <c r="A47" t="s">
        <v>725</v>
      </c>
      <c r="B47" t="s">
        <v>762</v>
      </c>
      <c r="E47" t="s">
        <v>594</v>
      </c>
    </row>
    <row r="48" spans="1:7">
      <c r="A48" t="s">
        <v>725</v>
      </c>
      <c r="B48" t="s">
        <v>763</v>
      </c>
      <c r="E48" t="s">
        <v>594</v>
      </c>
    </row>
    <row r="49" spans="1:5">
      <c r="A49" t="s">
        <v>725</v>
      </c>
      <c r="B49" t="s">
        <v>764</v>
      </c>
      <c r="E49" t="s">
        <v>594</v>
      </c>
    </row>
    <row r="50" spans="1:5">
      <c r="A50" t="s">
        <v>725</v>
      </c>
      <c r="B50" t="s">
        <v>765</v>
      </c>
      <c r="E50" t="s">
        <v>594</v>
      </c>
    </row>
    <row r="51" spans="1:5">
      <c r="A51" t="s">
        <v>725</v>
      </c>
      <c r="B51" t="s">
        <v>766</v>
      </c>
      <c r="E51" t="s">
        <v>594</v>
      </c>
    </row>
    <row r="52" spans="1:5">
      <c r="A52" t="s">
        <v>725</v>
      </c>
      <c r="B52" t="s">
        <v>230</v>
      </c>
      <c r="E52" t="s">
        <v>594</v>
      </c>
    </row>
    <row r="53" spans="1:5">
      <c r="A53" t="s">
        <v>725</v>
      </c>
      <c r="B53" t="s">
        <v>767</v>
      </c>
      <c r="E53" t="s">
        <v>594</v>
      </c>
    </row>
    <row r="54" spans="1:5">
      <c r="A54" t="s">
        <v>725</v>
      </c>
      <c r="B54" t="s">
        <v>768</v>
      </c>
      <c r="E54" t="s">
        <v>594</v>
      </c>
    </row>
    <row r="55" spans="1:5">
      <c r="A55" t="s">
        <v>725</v>
      </c>
      <c r="B55" t="s">
        <v>769</v>
      </c>
      <c r="E55" t="s">
        <v>594</v>
      </c>
    </row>
    <row r="56" spans="1:5">
      <c r="A56" t="s">
        <v>725</v>
      </c>
      <c r="B56" t="s">
        <v>770</v>
      </c>
      <c r="E56" t="s">
        <v>594</v>
      </c>
    </row>
    <row r="57" spans="1:5">
      <c r="A57" t="s">
        <v>725</v>
      </c>
      <c r="B57" t="s">
        <v>231</v>
      </c>
      <c r="E57" t="s">
        <v>594</v>
      </c>
    </row>
    <row r="58" spans="1:5">
      <c r="A58" t="s">
        <v>725</v>
      </c>
      <c r="B58" t="s">
        <v>382</v>
      </c>
      <c r="E58" t="s">
        <v>594</v>
      </c>
    </row>
    <row r="59" spans="1:5">
      <c r="A59" t="s">
        <v>725</v>
      </c>
      <c r="B59" t="s">
        <v>771</v>
      </c>
      <c r="E59" t="s">
        <v>594</v>
      </c>
    </row>
    <row r="60" spans="1:5">
      <c r="A60" t="s">
        <v>725</v>
      </c>
      <c r="B60" t="s">
        <v>772</v>
      </c>
      <c r="E60" t="s">
        <v>594</v>
      </c>
    </row>
    <row r="61" spans="1:5">
      <c r="A61" t="s">
        <v>725</v>
      </c>
      <c r="B61" t="s">
        <v>773</v>
      </c>
      <c r="E61" t="s">
        <v>594</v>
      </c>
    </row>
    <row r="62" spans="1:5">
      <c r="A62" t="s">
        <v>725</v>
      </c>
      <c r="B62" t="s">
        <v>774</v>
      </c>
      <c r="E62" t="s">
        <v>594</v>
      </c>
    </row>
    <row r="63" spans="1:5">
      <c r="A63" t="s">
        <v>725</v>
      </c>
      <c r="B63" t="s">
        <v>205</v>
      </c>
      <c r="E63" t="s">
        <v>594</v>
      </c>
    </row>
    <row r="64" spans="1:5">
      <c r="A64" t="s">
        <v>725</v>
      </c>
      <c r="B64" t="s">
        <v>775</v>
      </c>
      <c r="E64" t="s">
        <v>594</v>
      </c>
    </row>
    <row r="65" spans="1:7">
      <c r="A65" t="s">
        <v>725</v>
      </c>
      <c r="B65" t="s">
        <v>776</v>
      </c>
      <c r="E65" t="s">
        <v>594</v>
      </c>
    </row>
    <row r="66" spans="1:7">
      <c r="A66" t="s">
        <v>725</v>
      </c>
      <c r="B66" t="s">
        <v>777</v>
      </c>
      <c r="E66" t="s">
        <v>594</v>
      </c>
    </row>
    <row r="67" spans="1:7">
      <c r="A67" t="s">
        <v>725</v>
      </c>
      <c r="B67" t="s">
        <v>180</v>
      </c>
      <c r="E67" t="s">
        <v>410</v>
      </c>
      <c r="F67" s="2">
        <v>2201000</v>
      </c>
      <c r="G67" s="2">
        <v>460313</v>
      </c>
    </row>
    <row r="68" spans="1:7">
      <c r="A68" t="s">
        <v>725</v>
      </c>
      <c r="B68" t="s">
        <v>778</v>
      </c>
      <c r="E68" t="s">
        <v>410</v>
      </c>
      <c r="F68" s="2">
        <v>2201000</v>
      </c>
      <c r="G68" s="2">
        <v>460313</v>
      </c>
    </row>
    <row r="69" spans="1:7">
      <c r="A69" t="s">
        <v>725</v>
      </c>
      <c r="B69" t="s">
        <v>159</v>
      </c>
      <c r="E69" t="s">
        <v>410</v>
      </c>
      <c r="F69" s="2">
        <v>2201000</v>
      </c>
      <c r="G69" s="2">
        <v>460313</v>
      </c>
    </row>
    <row r="70" spans="1:7">
      <c r="A70" t="s">
        <v>725</v>
      </c>
      <c r="B70" t="s">
        <v>178</v>
      </c>
      <c r="E70" t="s">
        <v>410</v>
      </c>
      <c r="F70" s="2">
        <v>2201000</v>
      </c>
      <c r="G70" s="2">
        <v>460313</v>
      </c>
    </row>
    <row r="71" spans="1:7">
      <c r="A71" t="s">
        <v>725</v>
      </c>
      <c r="B71" t="s">
        <v>157</v>
      </c>
      <c r="E71" t="s">
        <v>410</v>
      </c>
      <c r="F71" s="2">
        <v>2201000</v>
      </c>
      <c r="G71" s="2">
        <v>460313</v>
      </c>
    </row>
    <row r="72" spans="1:7">
      <c r="A72" t="s">
        <v>725</v>
      </c>
      <c r="B72" t="s">
        <v>512</v>
      </c>
      <c r="E72" t="s">
        <v>410</v>
      </c>
      <c r="F72" s="2">
        <v>2201000</v>
      </c>
      <c r="G72" s="2">
        <v>460313</v>
      </c>
    </row>
    <row r="73" spans="1:7">
      <c r="A73" t="s">
        <v>725</v>
      </c>
      <c r="B73" t="s">
        <v>41</v>
      </c>
      <c r="E73" t="s">
        <v>410</v>
      </c>
      <c r="F73" s="2">
        <v>2201000</v>
      </c>
      <c r="G73" s="2">
        <v>460313</v>
      </c>
    </row>
    <row r="74" spans="1:7">
      <c r="A74" t="s">
        <v>725</v>
      </c>
      <c r="B74" t="s">
        <v>779</v>
      </c>
      <c r="E74" t="s">
        <v>410</v>
      </c>
      <c r="F74" s="2">
        <v>2201000</v>
      </c>
      <c r="G74" s="2">
        <v>460313</v>
      </c>
    </row>
    <row r="75" spans="1:7">
      <c r="A75" t="s">
        <v>725</v>
      </c>
      <c r="B75" t="s">
        <v>780</v>
      </c>
      <c r="E75" t="s">
        <v>410</v>
      </c>
      <c r="F75" s="2">
        <v>2201000</v>
      </c>
      <c r="G75" s="2">
        <v>460313</v>
      </c>
    </row>
    <row r="76" spans="1:7">
      <c r="A76" t="s">
        <v>725</v>
      </c>
      <c r="B76" t="s">
        <v>781</v>
      </c>
      <c r="E76" t="s">
        <v>410</v>
      </c>
      <c r="F76" s="2">
        <v>2201000</v>
      </c>
      <c r="G76" s="2">
        <v>460313</v>
      </c>
    </row>
    <row r="77" spans="1:7">
      <c r="A77" t="s">
        <v>725</v>
      </c>
      <c r="B77" t="s">
        <v>782</v>
      </c>
      <c r="E77" t="s">
        <v>410</v>
      </c>
      <c r="F77" s="2">
        <v>2201000</v>
      </c>
      <c r="G77" s="2">
        <v>460313</v>
      </c>
    </row>
    <row r="78" spans="1:7">
      <c r="A78" t="s">
        <v>725</v>
      </c>
      <c r="B78" t="s">
        <v>783</v>
      </c>
      <c r="E78" t="s">
        <v>410</v>
      </c>
      <c r="F78" s="2">
        <v>2201000</v>
      </c>
      <c r="G78" s="2">
        <v>460313</v>
      </c>
    </row>
    <row r="79" spans="1:7">
      <c r="A79" t="s">
        <v>725</v>
      </c>
      <c r="B79" t="s">
        <v>482</v>
      </c>
      <c r="E79" t="s">
        <v>410</v>
      </c>
      <c r="F79" s="2">
        <v>2201000</v>
      </c>
      <c r="G79" s="2">
        <v>460313</v>
      </c>
    </row>
    <row r="80" spans="1:7">
      <c r="A80" t="s">
        <v>725</v>
      </c>
      <c r="B80" t="s">
        <v>784</v>
      </c>
      <c r="E80" t="s">
        <v>410</v>
      </c>
      <c r="F80" s="2">
        <v>2201000</v>
      </c>
      <c r="G80" s="2">
        <v>460313</v>
      </c>
    </row>
    <row r="81" spans="1:7">
      <c r="A81" t="s">
        <v>725</v>
      </c>
      <c r="B81" t="s">
        <v>756</v>
      </c>
      <c r="E81" t="s">
        <v>410</v>
      </c>
      <c r="F81" s="2">
        <v>2690000</v>
      </c>
      <c r="G81" s="2">
        <v>562548</v>
      </c>
    </row>
    <row r="82" spans="1:7">
      <c r="A82" t="s">
        <v>725</v>
      </c>
      <c r="B82" t="s">
        <v>219</v>
      </c>
      <c r="E82" t="s">
        <v>410</v>
      </c>
      <c r="F82" s="2">
        <v>2690000</v>
      </c>
      <c r="G82" s="2">
        <v>562548</v>
      </c>
    </row>
    <row r="83" spans="1:7">
      <c r="A83" t="s">
        <v>725</v>
      </c>
      <c r="B83" t="s">
        <v>237</v>
      </c>
      <c r="E83" t="s">
        <v>410</v>
      </c>
      <c r="F83" s="2">
        <v>2690000</v>
      </c>
      <c r="G83" s="2">
        <v>562548</v>
      </c>
    </row>
    <row r="84" spans="1:7">
      <c r="A84" t="s">
        <v>725</v>
      </c>
      <c r="B84" t="s">
        <v>785</v>
      </c>
      <c r="E84" t="s">
        <v>410</v>
      </c>
      <c r="F84" s="2">
        <v>2690000</v>
      </c>
      <c r="G84" s="2">
        <v>562548</v>
      </c>
    </row>
    <row r="85" spans="1:7">
      <c r="A85" t="s">
        <v>725</v>
      </c>
      <c r="B85" t="s">
        <v>786</v>
      </c>
      <c r="E85" t="s">
        <v>410</v>
      </c>
      <c r="F85" s="2">
        <v>2690000</v>
      </c>
      <c r="G85" s="2">
        <v>562548</v>
      </c>
    </row>
    <row r="86" spans="1:7">
      <c r="A86" t="s">
        <v>725</v>
      </c>
      <c r="B86" t="s">
        <v>759</v>
      </c>
      <c r="E86" t="s">
        <v>410</v>
      </c>
      <c r="F86" s="2">
        <v>2690000</v>
      </c>
      <c r="G86" s="2">
        <v>562548</v>
      </c>
    </row>
    <row r="87" spans="1:7">
      <c r="A87" t="s">
        <v>725</v>
      </c>
      <c r="B87" t="s">
        <v>787</v>
      </c>
      <c r="E87" t="s">
        <v>410</v>
      </c>
      <c r="F87" s="2">
        <v>2690000</v>
      </c>
      <c r="G87" s="2">
        <v>562548</v>
      </c>
    </row>
    <row r="88" spans="1:7">
      <c r="A88" t="s">
        <v>725</v>
      </c>
      <c r="B88" t="s">
        <v>788</v>
      </c>
      <c r="E88" t="s">
        <v>410</v>
      </c>
      <c r="F88" s="2">
        <v>2690000</v>
      </c>
      <c r="G88" s="2">
        <v>562548</v>
      </c>
    </row>
    <row r="89" spans="1:7">
      <c r="A89" t="s">
        <v>725</v>
      </c>
      <c r="B89" t="s">
        <v>789</v>
      </c>
      <c r="E89" t="s">
        <v>410</v>
      </c>
      <c r="F89" s="2">
        <v>2690000</v>
      </c>
      <c r="G89" s="2">
        <v>562548</v>
      </c>
    </row>
    <row r="90" spans="1:7">
      <c r="A90" t="s">
        <v>725</v>
      </c>
      <c r="B90" t="s">
        <v>573</v>
      </c>
      <c r="E90" t="s">
        <v>410</v>
      </c>
      <c r="F90" s="2">
        <v>2690000</v>
      </c>
      <c r="G90" s="2">
        <v>562548</v>
      </c>
    </row>
    <row r="91" spans="1:7">
      <c r="A91" t="s">
        <v>725</v>
      </c>
      <c r="B91" t="s">
        <v>790</v>
      </c>
      <c r="E91" t="s">
        <v>410</v>
      </c>
      <c r="F91" s="2">
        <v>2690000</v>
      </c>
      <c r="G91" s="2">
        <v>562548</v>
      </c>
    </row>
    <row r="92" spans="1:7">
      <c r="A92" t="s">
        <v>725</v>
      </c>
      <c r="B92" t="s">
        <v>791</v>
      </c>
      <c r="E92" t="s">
        <v>410</v>
      </c>
      <c r="F92" s="2">
        <v>2690000</v>
      </c>
      <c r="G92" s="2">
        <v>562548</v>
      </c>
    </row>
    <row r="93" spans="1:7">
      <c r="A93" t="s">
        <v>725</v>
      </c>
      <c r="B93" t="s">
        <v>792</v>
      </c>
      <c r="E93" t="s">
        <v>410</v>
      </c>
      <c r="F93" s="2">
        <v>2690000</v>
      </c>
      <c r="G93" s="2">
        <v>562548</v>
      </c>
    </row>
    <row r="94" spans="1:7">
      <c r="A94" t="s">
        <v>725</v>
      </c>
      <c r="B94" t="s">
        <v>793</v>
      </c>
      <c r="E94" t="s">
        <v>410</v>
      </c>
      <c r="F94" s="2">
        <v>2690000</v>
      </c>
      <c r="G94" s="2">
        <v>562548</v>
      </c>
    </row>
    <row r="95" spans="1:7">
      <c r="A95" t="s">
        <v>725</v>
      </c>
      <c r="B95" t="s">
        <v>794</v>
      </c>
      <c r="E95" t="s">
        <v>410</v>
      </c>
      <c r="F95" s="2">
        <v>2690000</v>
      </c>
      <c r="G95" s="2">
        <v>562548</v>
      </c>
    </row>
    <row r="96" spans="1:7">
      <c r="A96" t="s">
        <v>725</v>
      </c>
      <c r="B96" t="s">
        <v>795</v>
      </c>
      <c r="E96" t="s">
        <v>410</v>
      </c>
      <c r="F96" s="2">
        <v>2690000</v>
      </c>
      <c r="G96" s="2">
        <v>562548</v>
      </c>
    </row>
    <row r="97" spans="1:7">
      <c r="A97" t="s">
        <v>725</v>
      </c>
      <c r="B97" t="s">
        <v>775</v>
      </c>
      <c r="E97" t="s">
        <v>410</v>
      </c>
      <c r="F97" s="2">
        <v>2690000</v>
      </c>
      <c r="G97" s="2">
        <v>562548</v>
      </c>
    </row>
    <row r="98" spans="1:7">
      <c r="A98" t="s">
        <v>725</v>
      </c>
      <c r="B98" t="s">
        <v>796</v>
      </c>
      <c r="E98" t="s">
        <v>410</v>
      </c>
      <c r="F98" s="2">
        <v>2690000</v>
      </c>
      <c r="G98" s="2">
        <v>562548</v>
      </c>
    </row>
    <row r="99" spans="1:7">
      <c r="A99" t="s">
        <v>725</v>
      </c>
      <c r="B99" t="s">
        <v>777</v>
      </c>
      <c r="E99" t="s">
        <v>410</v>
      </c>
      <c r="F99" s="2">
        <v>2690000</v>
      </c>
      <c r="G99" s="2">
        <v>562548</v>
      </c>
    </row>
    <row r="100" spans="1:7">
      <c r="A100" t="s">
        <v>725</v>
      </c>
      <c r="B100" t="s">
        <v>748</v>
      </c>
      <c r="E100" t="s">
        <v>410</v>
      </c>
      <c r="F100" s="2">
        <v>2936000</v>
      </c>
      <c r="G100" s="2">
        <v>614030</v>
      </c>
    </row>
    <row r="101" spans="1:7">
      <c r="A101" t="s">
        <v>725</v>
      </c>
      <c r="B101" t="s">
        <v>402</v>
      </c>
      <c r="E101" t="s">
        <v>410</v>
      </c>
      <c r="F101" s="2">
        <v>2936000</v>
      </c>
      <c r="G101" s="2">
        <v>614030</v>
      </c>
    </row>
    <row r="102" spans="1:7">
      <c r="A102" t="s">
        <v>725</v>
      </c>
      <c r="B102" t="s">
        <v>797</v>
      </c>
      <c r="E102" t="s">
        <v>410</v>
      </c>
      <c r="F102" s="2">
        <v>2936000</v>
      </c>
      <c r="G102" s="2">
        <v>614030</v>
      </c>
    </row>
    <row r="103" spans="1:7">
      <c r="A103" t="s">
        <v>725</v>
      </c>
      <c r="B103" t="s">
        <v>798</v>
      </c>
      <c r="E103" t="s">
        <v>410</v>
      </c>
      <c r="F103" s="2">
        <v>2936000</v>
      </c>
      <c r="G103" s="2">
        <v>614030</v>
      </c>
    </row>
    <row r="104" spans="1:7">
      <c r="A104" t="s">
        <v>725</v>
      </c>
      <c r="B104" t="s">
        <v>799</v>
      </c>
      <c r="E104" t="s">
        <v>410</v>
      </c>
      <c r="F104" s="2">
        <v>2936000</v>
      </c>
      <c r="G104" s="2">
        <v>614030</v>
      </c>
    </row>
    <row r="105" spans="1:7">
      <c r="A105" t="s">
        <v>725</v>
      </c>
      <c r="B105" t="s">
        <v>40</v>
      </c>
      <c r="E105" t="s">
        <v>410</v>
      </c>
      <c r="F105" s="2">
        <v>2936000</v>
      </c>
      <c r="G105" s="2">
        <v>614030</v>
      </c>
    </row>
    <row r="106" spans="1:7">
      <c r="A106" t="s">
        <v>725</v>
      </c>
      <c r="B106" t="s">
        <v>800</v>
      </c>
      <c r="E106" t="s">
        <v>410</v>
      </c>
      <c r="F106" s="2">
        <v>2936000</v>
      </c>
      <c r="G106" s="2">
        <v>614030</v>
      </c>
    </row>
    <row r="107" spans="1:7">
      <c r="A107" t="s">
        <v>725</v>
      </c>
      <c r="B107" t="s">
        <v>517</v>
      </c>
      <c r="E107" t="s">
        <v>410</v>
      </c>
      <c r="F107" s="2">
        <v>2936000</v>
      </c>
      <c r="G107" s="2">
        <v>614030</v>
      </c>
    </row>
    <row r="108" spans="1:7">
      <c r="A108" t="s">
        <v>725</v>
      </c>
      <c r="B108" t="s">
        <v>34</v>
      </c>
      <c r="E108" t="s">
        <v>410</v>
      </c>
      <c r="F108" s="2">
        <v>2936000</v>
      </c>
      <c r="G108" s="2">
        <v>614030</v>
      </c>
    </row>
    <row r="109" spans="1:7">
      <c r="A109" t="s">
        <v>725</v>
      </c>
      <c r="B109" t="s">
        <v>801</v>
      </c>
      <c r="E109" t="s">
        <v>410</v>
      </c>
      <c r="F109" s="2">
        <v>2936000</v>
      </c>
      <c r="G109" s="2">
        <v>614030</v>
      </c>
    </row>
    <row r="110" spans="1:7">
      <c r="A110" t="s">
        <v>725</v>
      </c>
      <c r="B110" t="s">
        <v>550</v>
      </c>
      <c r="E110" t="s">
        <v>410</v>
      </c>
      <c r="F110" s="2">
        <v>2936000</v>
      </c>
      <c r="G110" s="2">
        <v>614030</v>
      </c>
    </row>
    <row r="111" spans="1:7">
      <c r="A111" t="s">
        <v>725</v>
      </c>
      <c r="B111" t="s">
        <v>802</v>
      </c>
      <c r="E111" t="s">
        <v>410</v>
      </c>
      <c r="F111" s="2">
        <v>2936000</v>
      </c>
      <c r="G111" s="2">
        <v>614030</v>
      </c>
    </row>
    <row r="112" spans="1:7">
      <c r="A112" t="s">
        <v>725</v>
      </c>
      <c r="B112" t="s">
        <v>803</v>
      </c>
      <c r="E112" t="s">
        <v>410</v>
      </c>
      <c r="F112" s="2">
        <v>2936000</v>
      </c>
      <c r="G112" s="2">
        <v>614030</v>
      </c>
    </row>
    <row r="113" spans="1:7">
      <c r="A113" t="s">
        <v>725</v>
      </c>
      <c r="B113" t="s">
        <v>804</v>
      </c>
      <c r="E113" t="s">
        <v>410</v>
      </c>
      <c r="F113" s="2">
        <v>2936000</v>
      </c>
      <c r="G113" s="2">
        <v>614030</v>
      </c>
    </row>
    <row r="114" spans="1:7">
      <c r="A114" t="s">
        <v>725</v>
      </c>
      <c r="B114" t="s">
        <v>744</v>
      </c>
      <c r="E114" t="s">
        <v>410</v>
      </c>
      <c r="F114" s="2">
        <v>2936000</v>
      </c>
      <c r="G114" s="2">
        <v>614030</v>
      </c>
    </row>
    <row r="115" spans="1:7">
      <c r="A115" t="s">
        <v>725</v>
      </c>
      <c r="B115" t="s">
        <v>805</v>
      </c>
      <c r="E115" t="s">
        <v>410</v>
      </c>
      <c r="F115" s="2">
        <v>2936000</v>
      </c>
      <c r="G115" s="2">
        <v>614030</v>
      </c>
    </row>
    <row r="116" spans="1:7">
      <c r="A116" t="s">
        <v>725</v>
      </c>
      <c r="B116" t="s">
        <v>806</v>
      </c>
      <c r="E116" t="s">
        <v>410</v>
      </c>
      <c r="F116" s="2">
        <v>2936000</v>
      </c>
      <c r="G116" s="2">
        <v>614030</v>
      </c>
    </row>
    <row r="117" spans="1:7">
      <c r="A117" t="s">
        <v>725</v>
      </c>
      <c r="B117" t="s">
        <v>807</v>
      </c>
      <c r="E117" t="s">
        <v>410</v>
      </c>
      <c r="F117" s="2">
        <v>2936000</v>
      </c>
      <c r="G117" s="2">
        <v>614030</v>
      </c>
    </row>
    <row r="118" spans="1:7">
      <c r="A118" t="s">
        <v>725</v>
      </c>
      <c r="B118" t="s">
        <v>544</v>
      </c>
      <c r="E118" t="s">
        <v>410</v>
      </c>
      <c r="F118" s="2">
        <v>2936000</v>
      </c>
      <c r="G118" s="2">
        <v>614030</v>
      </c>
    </row>
    <row r="119" spans="1:7">
      <c r="A119" t="s">
        <v>725</v>
      </c>
      <c r="B119" t="s">
        <v>808</v>
      </c>
      <c r="E119" t="s">
        <v>410</v>
      </c>
      <c r="F119" s="2">
        <v>2936000</v>
      </c>
      <c r="G119" s="2">
        <v>614030</v>
      </c>
    </row>
    <row r="120" spans="1:7">
      <c r="A120" t="s">
        <v>725</v>
      </c>
      <c r="B120" t="s">
        <v>809</v>
      </c>
      <c r="E120" t="s">
        <v>410</v>
      </c>
      <c r="F120" s="2">
        <v>2936000</v>
      </c>
      <c r="G120" s="2">
        <v>614030</v>
      </c>
    </row>
    <row r="121" spans="1:7">
      <c r="A121" t="s">
        <v>725</v>
      </c>
      <c r="B121" t="s">
        <v>810</v>
      </c>
      <c r="E121" t="s">
        <v>410</v>
      </c>
      <c r="F121" s="2">
        <v>2936000</v>
      </c>
      <c r="G121" s="2">
        <v>614030</v>
      </c>
    </row>
    <row r="122" spans="1:7">
      <c r="A122" t="s">
        <v>725</v>
      </c>
      <c r="B122" t="s">
        <v>811</v>
      </c>
      <c r="E122" t="s">
        <v>410</v>
      </c>
      <c r="F122" s="2">
        <v>2936000</v>
      </c>
      <c r="G122" s="2">
        <v>614030</v>
      </c>
    </row>
    <row r="123" spans="1:7">
      <c r="A123" t="s">
        <v>725</v>
      </c>
      <c r="B123" t="s">
        <v>812</v>
      </c>
      <c r="E123" t="s">
        <v>410</v>
      </c>
      <c r="F123" s="2">
        <v>2936000</v>
      </c>
      <c r="G123" s="2">
        <v>614030</v>
      </c>
    </row>
    <row r="124" spans="1:7">
      <c r="A124" t="s">
        <v>725</v>
      </c>
      <c r="B124" t="s">
        <v>813</v>
      </c>
      <c r="E124" t="s">
        <v>410</v>
      </c>
      <c r="F124" s="2">
        <v>2936000</v>
      </c>
      <c r="G124" s="2">
        <v>614030</v>
      </c>
    </row>
    <row r="125" spans="1:7">
      <c r="A125" t="s">
        <v>725</v>
      </c>
      <c r="B125" t="s">
        <v>814</v>
      </c>
      <c r="E125" t="s">
        <v>410</v>
      </c>
      <c r="F125" s="2">
        <v>2936000</v>
      </c>
      <c r="G125" s="2">
        <v>614030</v>
      </c>
    </row>
    <row r="126" spans="1:7">
      <c r="A126" t="s">
        <v>725</v>
      </c>
      <c r="B126" t="s">
        <v>815</v>
      </c>
      <c r="E126" t="s">
        <v>410</v>
      </c>
      <c r="F126" s="2">
        <v>2936000</v>
      </c>
      <c r="G126" s="2">
        <v>614030</v>
      </c>
    </row>
    <row r="127" spans="1:7">
      <c r="A127" t="s">
        <v>725</v>
      </c>
      <c r="B127" t="s">
        <v>816</v>
      </c>
      <c r="E127" t="s">
        <v>410</v>
      </c>
    </row>
    <row r="128" spans="1:7">
      <c r="A128" t="s">
        <v>725</v>
      </c>
      <c r="B128" t="s">
        <v>817</v>
      </c>
      <c r="E128" t="s">
        <v>410</v>
      </c>
    </row>
    <row r="129" spans="1:7">
      <c r="A129" t="s">
        <v>725</v>
      </c>
      <c r="B129" t="s">
        <v>818</v>
      </c>
      <c r="E129" t="s">
        <v>410</v>
      </c>
    </row>
    <row r="130" spans="1:7">
      <c r="A130" t="s">
        <v>725</v>
      </c>
      <c r="B130" t="s">
        <v>819</v>
      </c>
      <c r="E130" t="s">
        <v>410</v>
      </c>
    </row>
    <row r="131" spans="1:7">
      <c r="A131" t="s">
        <v>725</v>
      </c>
      <c r="B131" t="s">
        <v>820</v>
      </c>
      <c r="E131" t="s">
        <v>410</v>
      </c>
    </row>
    <row r="132" spans="1:7">
      <c r="A132" t="s">
        <v>725</v>
      </c>
      <c r="B132" t="s">
        <v>821</v>
      </c>
      <c r="E132" t="s">
        <v>410</v>
      </c>
    </row>
    <row r="133" spans="1:7">
      <c r="A133" t="s">
        <v>725</v>
      </c>
      <c r="B133" t="s">
        <v>822</v>
      </c>
      <c r="E133" t="s">
        <v>410</v>
      </c>
    </row>
    <row r="134" spans="1:7">
      <c r="A134" t="s">
        <v>725</v>
      </c>
      <c r="B134" t="s">
        <v>823</v>
      </c>
      <c r="E134" t="s">
        <v>410</v>
      </c>
    </row>
    <row r="135" spans="1:7">
      <c r="A135" t="s">
        <v>725</v>
      </c>
      <c r="B135" t="s">
        <v>824</v>
      </c>
      <c r="E135" t="s">
        <v>410</v>
      </c>
    </row>
    <row r="136" spans="1:7">
      <c r="A136" t="s">
        <v>725</v>
      </c>
      <c r="B136" t="s">
        <v>763</v>
      </c>
      <c r="E136" t="s">
        <v>410</v>
      </c>
      <c r="F136" s="2">
        <v>2201000</v>
      </c>
      <c r="G136" s="2">
        <v>460313</v>
      </c>
    </row>
    <row r="137" spans="1:7">
      <c r="A137" t="s">
        <v>725</v>
      </c>
      <c r="B137" t="s">
        <v>764</v>
      </c>
      <c r="E137" t="s">
        <v>410</v>
      </c>
      <c r="F137" s="2">
        <v>2201000</v>
      </c>
      <c r="G137" s="2">
        <v>460313</v>
      </c>
    </row>
    <row r="138" spans="1:7">
      <c r="A138" t="s">
        <v>725</v>
      </c>
      <c r="B138" t="s">
        <v>231</v>
      </c>
      <c r="E138" t="s">
        <v>410</v>
      </c>
      <c r="F138" s="2">
        <v>2690000</v>
      </c>
      <c r="G138" s="2">
        <v>562548</v>
      </c>
    </row>
    <row r="139" spans="1:7">
      <c r="A139" t="s">
        <v>725</v>
      </c>
      <c r="B139" t="s">
        <v>825</v>
      </c>
      <c r="E139" t="s">
        <v>410</v>
      </c>
      <c r="F139" s="2">
        <v>2690000</v>
      </c>
      <c r="G139" s="2">
        <v>562548</v>
      </c>
    </row>
    <row r="140" spans="1:7">
      <c r="A140" t="s">
        <v>725</v>
      </c>
      <c r="B140" t="s">
        <v>826</v>
      </c>
      <c r="E140" t="s">
        <v>410</v>
      </c>
      <c r="F140" s="2">
        <v>2690000</v>
      </c>
      <c r="G140" s="2">
        <v>562548</v>
      </c>
    </row>
    <row r="141" spans="1:7">
      <c r="A141" t="s">
        <v>725</v>
      </c>
      <c r="B141" t="s">
        <v>230</v>
      </c>
      <c r="E141" t="s">
        <v>410</v>
      </c>
      <c r="F141" s="2">
        <v>2690000</v>
      </c>
      <c r="G141" s="2">
        <v>562548</v>
      </c>
    </row>
    <row r="142" spans="1:7">
      <c r="A142" t="s">
        <v>725</v>
      </c>
      <c r="B142" t="s">
        <v>827</v>
      </c>
      <c r="E142" t="s">
        <v>410</v>
      </c>
      <c r="F142" s="2">
        <v>2690000</v>
      </c>
      <c r="G142" s="2">
        <v>562548</v>
      </c>
    </row>
    <row r="143" spans="1:7">
      <c r="A143" t="s">
        <v>725</v>
      </c>
      <c r="B143" t="s">
        <v>382</v>
      </c>
      <c r="E143" t="s">
        <v>410</v>
      </c>
      <c r="F143" s="2">
        <v>2690000</v>
      </c>
      <c r="G143" s="2">
        <v>562548</v>
      </c>
    </row>
    <row r="144" spans="1:7">
      <c r="A144" t="s">
        <v>725</v>
      </c>
      <c r="B144" t="s">
        <v>828</v>
      </c>
      <c r="E144" t="s">
        <v>410</v>
      </c>
      <c r="F144" s="2">
        <v>2690000</v>
      </c>
      <c r="G144" s="2">
        <v>562548</v>
      </c>
    </row>
    <row r="145" spans="1:7">
      <c r="A145" t="s">
        <v>725</v>
      </c>
      <c r="B145" t="s">
        <v>829</v>
      </c>
      <c r="E145" t="s">
        <v>410</v>
      </c>
      <c r="F145" s="2">
        <v>2690000</v>
      </c>
      <c r="G145" s="2">
        <v>562548</v>
      </c>
    </row>
    <row r="146" spans="1:7">
      <c r="A146" t="s">
        <v>725</v>
      </c>
      <c r="B146" t="s">
        <v>830</v>
      </c>
      <c r="E146" t="s">
        <v>410</v>
      </c>
      <c r="F146" s="2">
        <v>2690000</v>
      </c>
      <c r="G146" s="2">
        <v>562548</v>
      </c>
    </row>
    <row r="147" spans="1:7">
      <c r="A147" t="s">
        <v>725</v>
      </c>
      <c r="B147" t="s">
        <v>831</v>
      </c>
      <c r="E147" t="s">
        <v>410</v>
      </c>
      <c r="F147" s="2">
        <v>2936000</v>
      </c>
      <c r="G147" s="2">
        <v>614030</v>
      </c>
    </row>
    <row r="148" spans="1:7">
      <c r="A148" t="s">
        <v>725</v>
      </c>
      <c r="B148" t="s">
        <v>832</v>
      </c>
      <c r="E148" t="s">
        <v>410</v>
      </c>
      <c r="F148" s="2">
        <v>2936000</v>
      </c>
      <c r="G148" s="2">
        <v>614030</v>
      </c>
    </row>
    <row r="149" spans="1:7">
      <c r="A149" t="s">
        <v>725</v>
      </c>
      <c r="B149" t="s">
        <v>833</v>
      </c>
      <c r="E149" t="s">
        <v>410</v>
      </c>
    </row>
    <row r="150" spans="1:7">
      <c r="A150" t="s">
        <v>725</v>
      </c>
      <c r="B150" s="12" t="s">
        <v>834</v>
      </c>
      <c r="E150" t="s">
        <v>410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/>
  <sheetData>
    <row r="1" spans="1:2">
      <c r="A1" t="s">
        <v>835</v>
      </c>
      <c r="B1">
        <v>0.21</v>
      </c>
    </row>
    <row r="2" spans="1:2">
      <c r="A2" t="s">
        <v>836</v>
      </c>
      <c r="B2">
        <v>320</v>
      </c>
    </row>
  </sheetData>
  <sheetProtection algorithmName="SHA-512" hashValue="N1ppX6VgGuK6uRU8EYz7vFkvfbiDD/S/C6HkJF3sNV4vj4Ejrh67L1jG8zAJ58NezXnGbyZWCWAB/PnttwRp5Q==" saltValue="119UcyrqUpa2ZrtyuAd50g==" spinCount="100000" sheet="1" objects="1" scenarios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2026-01-20T07:34:18Z</dcterms:created>
  <dcterms:modified xsi:type="dcterms:W3CDTF">2026-10-20T05:14:39Z</dcterms:modified>
  <cp:category/>
  <cp:contentStatus/>
</cp:coreProperties>
</file>